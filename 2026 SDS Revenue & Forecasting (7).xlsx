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kmlirl-my.sharepoint.com/personal/pedro_olinger_gdcgroup_com/Documents/"/>
    </mc:Choice>
  </mc:AlternateContent>
  <xr:revisionPtr revIDLastSave="0" documentId="8_{50AEF83C-B85A-48AE-B460-3CDF5A4E28B1}" xr6:coauthVersionLast="47" xr6:coauthVersionMax="47" xr10:uidLastSave="{00000000-0000-0000-0000-000000000000}"/>
  <bookViews>
    <workbookView xWindow="0" yWindow="600" windowWidth="38400" windowHeight="21000" tabRatio="760" firstSheet="5" activeTab="5" xr2:uid="{00000000-000D-0000-FFFF-FFFF00000000}"/>
    <workbookView xWindow="0" yWindow="600" windowWidth="38400" windowHeight="21000" firstSheet="1" activeTab="1" xr2:uid="{4989500D-168D-4A94-B6A3-382827D8096E}"/>
  </bookViews>
  <sheets>
    <sheet name="Instructions" sheetId="1" state="hidden" r:id="rId1"/>
    <sheet name="Forecast Input" sheetId="2" r:id="rId2"/>
    <sheet name="Management View---&gt;" sheetId="11" r:id="rId3"/>
    <sheet name="Executive Dashboard" sheetId="3" r:id="rId4"/>
    <sheet name="Forecast" sheetId="4" r:id="rId5"/>
    <sheet name="Rotowire" sheetId="5" r:id="rId6"/>
    <sheet name="RotoWire Notes" sheetId="10" r:id="rId7"/>
    <sheet name="Bookies" sheetId="6" r:id="rId8"/>
    <sheet name="Local" sheetId="8" r:id="rId9"/>
    <sheet name="Partnerships" sheetId="7" r:id="rId10"/>
    <sheet name="OJ+OO" sheetId="9" r:id="rId11"/>
  </sheets>
  <externalReferences>
    <externalReference r:id="rId12"/>
  </externalReferences>
  <definedNames>
    <definedName name="_xlnm._FilterDatabase" localSheetId="7" hidden="1">Bookies!$A$3:$O$117</definedName>
    <definedName name="_xlnm._FilterDatabase" localSheetId="1" hidden="1">'Forecast Input'!$A$3:$Q$112</definedName>
    <definedName name="_xlnm._FilterDatabase" localSheetId="8" hidden="1">Local!$A$3:$O$192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S48" i="10" l="1"/>
  <c r="BR48" i="10"/>
  <c r="BO48" i="10"/>
  <c r="BN48" i="10"/>
  <c r="BK48" i="10"/>
  <c r="BW48" i="10" s="1"/>
  <c r="BJ48" i="10"/>
  <c r="BV48" i="10" s="1"/>
  <c r="BG48" i="10"/>
  <c r="BB48" i="10"/>
  <c r="AV48" i="10"/>
  <c r="AP48" i="10"/>
  <c r="BF48" i="10" s="1"/>
  <c r="AM48" i="10"/>
  <c r="AJ48" i="10"/>
  <c r="AH48" i="10"/>
  <c r="AD48" i="10"/>
  <c r="Z48" i="10"/>
  <c r="AL48" i="10" s="1"/>
  <c r="W48" i="10"/>
  <c r="T48" i="10"/>
  <c r="R48" i="10"/>
  <c r="N48" i="10"/>
  <c r="J48" i="10"/>
  <c r="V48" i="10" s="1"/>
  <c r="G48" i="10"/>
  <c r="F48" i="10"/>
  <c r="D48" i="10"/>
  <c r="BW47" i="10"/>
  <c r="BR47" i="10"/>
  <c r="BN47" i="10"/>
  <c r="BJ47" i="10"/>
  <c r="BV47" i="10" s="1"/>
  <c r="BG47" i="10"/>
  <c r="BB47" i="10"/>
  <c r="AV47" i="10"/>
  <c r="AP47" i="10"/>
  <c r="BF47" i="10" s="1"/>
  <c r="AM47" i="10"/>
  <c r="AJ47" i="10"/>
  <c r="AH47" i="10"/>
  <c r="AD47" i="10"/>
  <c r="Z47" i="10"/>
  <c r="AL47" i="10" s="1"/>
  <c r="W47" i="10"/>
  <c r="T47" i="10"/>
  <c r="R47" i="10"/>
  <c r="N47" i="10"/>
  <c r="J47" i="10"/>
  <c r="V47" i="10" s="1"/>
  <c r="G47" i="10"/>
  <c r="D47" i="10"/>
  <c r="BS46" i="10"/>
  <c r="BR46" i="10"/>
  <c r="BO46" i="10"/>
  <c r="BN46" i="10"/>
  <c r="BK46" i="10"/>
  <c r="BW46" i="10" s="1"/>
  <c r="BJ46" i="10"/>
  <c r="BV46" i="10" s="1"/>
  <c r="BG46" i="10"/>
  <c r="BB46" i="10"/>
  <c r="AV46" i="10"/>
  <c r="BF46" i="10" s="1"/>
  <c r="AN46" i="10"/>
  <c r="AM46" i="10"/>
  <c r="AF46" i="10"/>
  <c r="AJ46" i="10" s="1"/>
  <c r="AD46" i="10"/>
  <c r="Z46" i="10"/>
  <c r="AL46" i="10" s="1"/>
  <c r="W46" i="10"/>
  <c r="T46" i="10"/>
  <c r="R46" i="10"/>
  <c r="N46" i="10"/>
  <c r="J46" i="10"/>
  <c r="V46" i="10" s="1"/>
  <c r="BS45" i="10"/>
  <c r="BR45" i="10"/>
  <c r="BO45" i="10"/>
  <c r="BN45" i="10"/>
  <c r="BK45" i="10"/>
  <c r="BW45" i="10" s="1"/>
  <c r="BJ45" i="10"/>
  <c r="BV45" i="10" s="1"/>
  <c r="BG45" i="10"/>
  <c r="BB45" i="10"/>
  <c r="AV45" i="10"/>
  <c r="BF45" i="10" s="1"/>
  <c r="AU45" i="10"/>
  <c r="AM45" i="10"/>
  <c r="AG45" i="10"/>
  <c r="AF45" i="10"/>
  <c r="AJ45" i="10" s="1"/>
  <c r="AD45" i="10"/>
  <c r="Z45" i="10"/>
  <c r="AL45" i="10" s="1"/>
  <c r="W45" i="10"/>
  <c r="R45" i="10"/>
  <c r="R43" i="10" s="1"/>
  <c r="N45" i="10"/>
  <c r="L45" i="10"/>
  <c r="T45" i="10" s="1"/>
  <c r="J45" i="10"/>
  <c r="V45" i="10" s="1"/>
  <c r="BS44" i="10"/>
  <c r="BS43" i="10" s="1"/>
  <c r="BR44" i="10"/>
  <c r="BR43" i="10" s="1"/>
  <c r="BO44" i="10"/>
  <c r="BN44" i="10"/>
  <c r="BM44" i="10"/>
  <c r="BL44" i="10"/>
  <c r="BK44" i="10"/>
  <c r="BW44" i="10" s="1"/>
  <c r="BW43" i="10" s="1"/>
  <c r="BJ44" i="10"/>
  <c r="BV44" i="10" s="1"/>
  <c r="BV43" i="10" s="1"/>
  <c r="BH44" i="10"/>
  <c r="BC44" i="10"/>
  <c r="BB44" i="10"/>
  <c r="BA44" i="10"/>
  <c r="AZ44" i="10"/>
  <c r="AW44" i="10"/>
  <c r="AV44" i="10"/>
  <c r="AV43" i="10" s="1"/>
  <c r="AU44" i="10"/>
  <c r="AT44" i="10"/>
  <c r="AQ44" i="10"/>
  <c r="BG44" i="10" s="1"/>
  <c r="BG43" i="10" s="1"/>
  <c r="AP44" i="10"/>
  <c r="AO44" i="10"/>
  <c r="AI44" i="10"/>
  <c r="AI43" i="10" s="1"/>
  <c r="AH44" i="10"/>
  <c r="AG44" i="10"/>
  <c r="AF44" i="10"/>
  <c r="AF43" i="10" s="1"/>
  <c r="AE44" i="10"/>
  <c r="AD44" i="10"/>
  <c r="AA44" i="10"/>
  <c r="AA43" i="10" s="1"/>
  <c r="Z44" i="10"/>
  <c r="AL44" i="10" s="1"/>
  <c r="AL43" i="10" s="1"/>
  <c r="T44" i="10"/>
  <c r="S44" i="10"/>
  <c r="R44" i="10"/>
  <c r="V44" i="10" s="1"/>
  <c r="O44" i="10"/>
  <c r="N44" i="10"/>
  <c r="K44" i="10"/>
  <c r="W44" i="10" s="1"/>
  <c r="J44" i="10"/>
  <c r="BP43" i="10"/>
  <c r="BO43" i="10"/>
  <c r="BN43" i="10"/>
  <c r="BM43" i="10"/>
  <c r="BL43" i="10"/>
  <c r="BK43" i="10"/>
  <c r="BJ43" i="10"/>
  <c r="BH43" i="10"/>
  <c r="BC43" i="10"/>
  <c r="BB43" i="10"/>
  <c r="AW43" i="10"/>
  <c r="AU43" i="10"/>
  <c r="AQ43" i="10"/>
  <c r="AP43" i="10"/>
  <c r="AO43" i="10"/>
  <c r="AN43" i="10"/>
  <c r="AH43" i="10"/>
  <c r="AG43" i="10"/>
  <c r="AE43" i="10"/>
  <c r="AD43" i="10"/>
  <c r="AB43" i="10"/>
  <c r="Z43" i="10"/>
  <c r="X43" i="10"/>
  <c r="T43" i="10"/>
  <c r="S43" i="10"/>
  <c r="P43" i="10"/>
  <c r="O43" i="10"/>
  <c r="N43" i="10"/>
  <c r="L43" i="10"/>
  <c r="J43" i="10"/>
  <c r="I43" i="10"/>
  <c r="H43" i="10"/>
  <c r="J6" i="2"/>
  <c r="I6" i="2"/>
  <c r="H6" i="2"/>
  <c r="O10" i="2"/>
  <c r="N10" i="2"/>
  <c r="M10" i="2"/>
  <c r="L10" i="2"/>
  <c r="K10" i="2"/>
  <c r="J10" i="2"/>
  <c r="I10" i="2"/>
  <c r="H10" i="2"/>
  <c r="G10" i="2"/>
  <c r="C24" i="4"/>
  <c r="D24" i="4"/>
  <c r="E24" i="4"/>
  <c r="F24" i="4"/>
  <c r="G24" i="4"/>
  <c r="H24" i="4"/>
  <c r="I24" i="4"/>
  <c r="J24" i="4"/>
  <c r="K24" i="4"/>
  <c r="L24" i="4"/>
  <c r="M24" i="4"/>
  <c r="N24" i="4"/>
  <c r="B24" i="4"/>
  <c r="G6" i="2"/>
  <c r="I152" i="2"/>
  <c r="I153" i="2"/>
  <c r="I154" i="2"/>
  <c r="J177" i="2"/>
  <c r="B168" i="2"/>
  <c r="J159" i="2"/>
  <c r="J176" i="2"/>
  <c r="J175" i="2"/>
  <c r="D104" i="6"/>
  <c r="E104" i="6"/>
  <c r="F104" i="6"/>
  <c r="G104" i="6"/>
  <c r="H104" i="6"/>
  <c r="I104" i="6"/>
  <c r="J104" i="6"/>
  <c r="K104" i="6"/>
  <c r="L104" i="6"/>
  <c r="M104" i="6"/>
  <c r="N104" i="6"/>
  <c r="C104" i="6"/>
  <c r="D102" i="6"/>
  <c r="E102" i="6"/>
  <c r="F102" i="6"/>
  <c r="G102" i="6"/>
  <c r="H102" i="6"/>
  <c r="I102" i="6"/>
  <c r="J102" i="6"/>
  <c r="K102" i="6"/>
  <c r="L102" i="6"/>
  <c r="M102" i="6"/>
  <c r="N102" i="6"/>
  <c r="C102" i="6"/>
  <c r="O102" i="6"/>
  <c r="O103" i="6"/>
  <c r="O104" i="6"/>
  <c r="C105" i="6"/>
  <c r="D105" i="6"/>
  <c r="E105" i="6"/>
  <c r="F105" i="6"/>
  <c r="G105" i="6"/>
  <c r="H105" i="6"/>
  <c r="I105" i="6"/>
  <c r="J105" i="6"/>
  <c r="K105" i="6"/>
  <c r="L105" i="6"/>
  <c r="M105" i="6"/>
  <c r="N105" i="6"/>
  <c r="C106" i="6"/>
  <c r="D106" i="6"/>
  <c r="E106" i="6"/>
  <c r="F106" i="6"/>
  <c r="G106" i="6"/>
  <c r="H106" i="6"/>
  <c r="I106" i="6"/>
  <c r="J106" i="6"/>
  <c r="K106" i="6"/>
  <c r="L106" i="6"/>
  <c r="M106" i="6"/>
  <c r="N106" i="6"/>
  <c r="C107" i="6"/>
  <c r="D107" i="6"/>
  <c r="E107" i="6"/>
  <c r="F107" i="6"/>
  <c r="G107" i="6"/>
  <c r="H107" i="6"/>
  <c r="I107" i="6"/>
  <c r="J107" i="6"/>
  <c r="K107" i="6"/>
  <c r="L107" i="6"/>
  <c r="M107" i="6"/>
  <c r="N107" i="6"/>
  <c r="C108" i="6"/>
  <c r="D108" i="6"/>
  <c r="E108" i="6"/>
  <c r="F108" i="6"/>
  <c r="G108" i="6"/>
  <c r="H108" i="6"/>
  <c r="I108" i="6"/>
  <c r="J108" i="6"/>
  <c r="K108" i="6"/>
  <c r="L108" i="6"/>
  <c r="M108" i="6"/>
  <c r="N108" i="6"/>
  <c r="P43" i="2"/>
  <c r="P42" i="2"/>
  <c r="F10" i="2"/>
  <c r="F6" i="2"/>
  <c r="F8" i="2"/>
  <c r="E178" i="2"/>
  <c r="K177" i="2"/>
  <c r="E177" i="2"/>
  <c r="I66" i="3"/>
  <c r="I54" i="3"/>
  <c r="I42" i="3"/>
  <c r="I30" i="3"/>
  <c r="B30" i="3"/>
  <c r="B42" i="3"/>
  <c r="B54" i="3"/>
  <c r="B66" i="3"/>
  <c r="E10" i="2"/>
  <c r="P104" i="2"/>
  <c r="B17" i="3"/>
  <c r="C102" i="3"/>
  <c r="C91" i="3"/>
  <c r="B102" i="3"/>
  <c r="B91" i="3"/>
  <c r="C88" i="3"/>
  <c r="C89" i="3"/>
  <c r="C90" i="3"/>
  <c r="C92" i="3"/>
  <c r="C87" i="3"/>
  <c r="C93" i="3"/>
  <c r="C99" i="3"/>
  <c r="C100" i="3"/>
  <c r="C101" i="3"/>
  <c r="C103" i="3"/>
  <c r="C98" i="3"/>
  <c r="C104" i="3"/>
  <c r="I17" i="3"/>
  <c r="D4" i="3" s="1"/>
  <c r="C4" i="3"/>
  <c r="B92" i="3"/>
  <c r="B90" i="3"/>
  <c r="B89" i="3"/>
  <c r="B88" i="3"/>
  <c r="C18" i="5"/>
  <c r="B6" i="4" s="1"/>
  <c r="C4" i="5"/>
  <c r="C11" i="5"/>
  <c r="B5" i="4" s="1"/>
  <c r="N97" i="6"/>
  <c r="M97" i="6"/>
  <c r="L97" i="6"/>
  <c r="K97" i="6"/>
  <c r="J97" i="6"/>
  <c r="I97" i="6"/>
  <c r="H97" i="6"/>
  <c r="G97" i="6"/>
  <c r="F97" i="6"/>
  <c r="E97" i="6"/>
  <c r="D97" i="6"/>
  <c r="C97" i="6"/>
  <c r="N95" i="6"/>
  <c r="M23" i="4" s="1"/>
  <c r="M95" i="6"/>
  <c r="L23" i="4" s="1"/>
  <c r="L95" i="6"/>
  <c r="K23" i="4" s="1"/>
  <c r="K95" i="6"/>
  <c r="J23" i="4" s="1"/>
  <c r="J95" i="6"/>
  <c r="I23" i="4" s="1"/>
  <c r="I95" i="6"/>
  <c r="H23" i="4" s="1"/>
  <c r="H95" i="6"/>
  <c r="G23" i="4" s="1"/>
  <c r="G95" i="6"/>
  <c r="F23" i="4" s="1"/>
  <c r="F95" i="6"/>
  <c r="E23" i="4" s="1"/>
  <c r="E95" i="6"/>
  <c r="D23" i="4" s="1"/>
  <c r="D95" i="6"/>
  <c r="C23" i="4" s="1"/>
  <c r="C95" i="6"/>
  <c r="N90" i="6"/>
  <c r="M90" i="6"/>
  <c r="L90" i="6"/>
  <c r="K90" i="6"/>
  <c r="J90" i="6"/>
  <c r="I90" i="6"/>
  <c r="H90" i="6"/>
  <c r="G90" i="6"/>
  <c r="F90" i="6"/>
  <c r="E90" i="6"/>
  <c r="D90" i="6"/>
  <c r="C90" i="6"/>
  <c r="N88" i="6"/>
  <c r="M22" i="4" s="1"/>
  <c r="M88" i="6"/>
  <c r="L22" i="4" s="1"/>
  <c r="L88" i="6"/>
  <c r="K22" i="4" s="1"/>
  <c r="K88" i="6"/>
  <c r="J22" i="4" s="1"/>
  <c r="J88" i="6"/>
  <c r="I22" i="4" s="1"/>
  <c r="I88" i="6"/>
  <c r="H22" i="4" s="1"/>
  <c r="H88" i="6"/>
  <c r="G22" i="4" s="1"/>
  <c r="G88" i="6"/>
  <c r="F22" i="4" s="1"/>
  <c r="F88" i="6"/>
  <c r="E22" i="4" s="1"/>
  <c r="E88" i="6"/>
  <c r="D22" i="4" s="1"/>
  <c r="D88" i="6"/>
  <c r="C22" i="4" s="1"/>
  <c r="C88" i="6"/>
  <c r="N83" i="6"/>
  <c r="M83" i="6"/>
  <c r="L83" i="6"/>
  <c r="K83" i="6"/>
  <c r="J83" i="6"/>
  <c r="I83" i="6"/>
  <c r="H83" i="6"/>
  <c r="G83" i="6"/>
  <c r="F83" i="6"/>
  <c r="E83" i="6"/>
  <c r="D83" i="6"/>
  <c r="C83" i="6"/>
  <c r="N81" i="6"/>
  <c r="M21" i="4" s="1"/>
  <c r="M81" i="6"/>
  <c r="L21" i="4" s="1"/>
  <c r="L81" i="6"/>
  <c r="K21" i="4" s="1"/>
  <c r="K81" i="6"/>
  <c r="J21" i="4" s="1"/>
  <c r="J81" i="6"/>
  <c r="I21" i="4" s="1"/>
  <c r="I81" i="6"/>
  <c r="H21" i="4" s="1"/>
  <c r="H81" i="6"/>
  <c r="G21" i="4" s="1"/>
  <c r="G81" i="6"/>
  <c r="F21" i="4" s="1"/>
  <c r="F81" i="6"/>
  <c r="E21" i="4" s="1"/>
  <c r="E81" i="6"/>
  <c r="D21" i="4" s="1"/>
  <c r="D81" i="6"/>
  <c r="C21" i="4" s="1"/>
  <c r="C81" i="6"/>
  <c r="B21" i="4" s="1"/>
  <c r="P41" i="2"/>
  <c r="P40" i="2"/>
  <c r="P39" i="2"/>
  <c r="P38" i="2"/>
  <c r="P37" i="2"/>
  <c r="P36" i="2"/>
  <c r="N100" i="6"/>
  <c r="N101" i="6" s="1"/>
  <c r="M100" i="6"/>
  <c r="M101" i="6" s="1"/>
  <c r="L100" i="6"/>
  <c r="L101" i="6" s="1"/>
  <c r="K100" i="6"/>
  <c r="K101" i="6" s="1"/>
  <c r="J100" i="6"/>
  <c r="J101" i="6" s="1"/>
  <c r="I100" i="6"/>
  <c r="I101" i="6" s="1"/>
  <c r="H100" i="6"/>
  <c r="H101" i="6" s="1"/>
  <c r="G100" i="6"/>
  <c r="G101" i="6" s="1"/>
  <c r="F100" i="6"/>
  <c r="F101" i="6" s="1"/>
  <c r="E100" i="6"/>
  <c r="E101" i="6" s="1"/>
  <c r="D100" i="6"/>
  <c r="D101" i="6" s="1"/>
  <c r="O96" i="6"/>
  <c r="N98" i="6"/>
  <c r="N99" i="6" s="1"/>
  <c r="M98" i="6"/>
  <c r="M99" i="6" s="1"/>
  <c r="L98" i="6"/>
  <c r="L99" i="6" s="1"/>
  <c r="K98" i="6"/>
  <c r="K99" i="6" s="1"/>
  <c r="J98" i="6"/>
  <c r="J99" i="6" s="1"/>
  <c r="I98" i="6"/>
  <c r="I99" i="6" s="1"/>
  <c r="H98" i="6"/>
  <c r="H99" i="6" s="1"/>
  <c r="G98" i="6"/>
  <c r="G99" i="6" s="1"/>
  <c r="F98" i="6"/>
  <c r="F99" i="6" s="1"/>
  <c r="E98" i="6"/>
  <c r="E99" i="6" s="1"/>
  <c r="D98" i="6"/>
  <c r="D99" i="6" s="1"/>
  <c r="N93" i="6"/>
  <c r="N94" i="6" s="1"/>
  <c r="M93" i="6"/>
  <c r="M94" i="6" s="1"/>
  <c r="L93" i="6"/>
  <c r="L94" i="6" s="1"/>
  <c r="K93" i="6"/>
  <c r="K94" i="6" s="1"/>
  <c r="J93" i="6"/>
  <c r="J94" i="6" s="1"/>
  <c r="I93" i="6"/>
  <c r="I94" i="6" s="1"/>
  <c r="H93" i="6"/>
  <c r="H94" i="6" s="1"/>
  <c r="G93" i="6"/>
  <c r="G94" i="6" s="1"/>
  <c r="F93" i="6"/>
  <c r="F94" i="6" s="1"/>
  <c r="E93" i="6"/>
  <c r="E94" i="6" s="1"/>
  <c r="D93" i="6"/>
  <c r="D94" i="6" s="1"/>
  <c r="O89" i="6"/>
  <c r="N91" i="6"/>
  <c r="N92" i="6" s="1"/>
  <c r="M91" i="6"/>
  <c r="M92" i="6" s="1"/>
  <c r="L91" i="6"/>
  <c r="L92" i="6" s="1"/>
  <c r="K91" i="6"/>
  <c r="K92" i="6" s="1"/>
  <c r="J91" i="6"/>
  <c r="J92" i="6" s="1"/>
  <c r="I91" i="6"/>
  <c r="I92" i="6" s="1"/>
  <c r="H91" i="6"/>
  <c r="H92" i="6" s="1"/>
  <c r="G91" i="6"/>
  <c r="G92" i="6" s="1"/>
  <c r="F91" i="6"/>
  <c r="F92" i="6" s="1"/>
  <c r="E91" i="6"/>
  <c r="E92" i="6" s="1"/>
  <c r="D91" i="6"/>
  <c r="D92" i="6" s="1"/>
  <c r="N86" i="6"/>
  <c r="N87" i="6" s="1"/>
  <c r="M86" i="6"/>
  <c r="M87" i="6" s="1"/>
  <c r="L86" i="6"/>
  <c r="L87" i="6" s="1"/>
  <c r="K86" i="6"/>
  <c r="K87" i="6" s="1"/>
  <c r="J86" i="6"/>
  <c r="J87" i="6" s="1"/>
  <c r="I86" i="6"/>
  <c r="I87" i="6" s="1"/>
  <c r="H86" i="6"/>
  <c r="H87" i="6" s="1"/>
  <c r="G86" i="6"/>
  <c r="G87" i="6" s="1"/>
  <c r="F86" i="6"/>
  <c r="F87" i="6" s="1"/>
  <c r="E86" i="6"/>
  <c r="E87" i="6" s="1"/>
  <c r="D86" i="6"/>
  <c r="D87" i="6" s="1"/>
  <c r="O82" i="6"/>
  <c r="N84" i="6"/>
  <c r="N85" i="6" s="1"/>
  <c r="M84" i="6"/>
  <c r="M85" i="6" s="1"/>
  <c r="L84" i="6"/>
  <c r="L85" i="6" s="1"/>
  <c r="K84" i="6"/>
  <c r="K85" i="6" s="1"/>
  <c r="J84" i="6"/>
  <c r="J85" i="6" s="1"/>
  <c r="I84" i="6"/>
  <c r="I85" i="6" s="1"/>
  <c r="H84" i="6"/>
  <c r="H85" i="6" s="1"/>
  <c r="G84" i="6"/>
  <c r="G85" i="6" s="1"/>
  <c r="F84" i="6"/>
  <c r="F85" i="6" s="1"/>
  <c r="E84" i="6"/>
  <c r="E85" i="6" s="1"/>
  <c r="D84" i="6"/>
  <c r="D85" i="6" s="1"/>
  <c r="E6" i="2"/>
  <c r="E8" i="2"/>
  <c r="I170" i="2"/>
  <c r="F170" i="2"/>
  <c r="F169" i="2"/>
  <c r="F168" i="2"/>
  <c r="I155" i="2"/>
  <c r="J160" i="2" s="1"/>
  <c r="F155" i="2"/>
  <c r="F154" i="2"/>
  <c r="F153" i="2"/>
  <c r="P97" i="2"/>
  <c r="C4" i="7"/>
  <c r="D4" i="7"/>
  <c r="P101" i="2"/>
  <c r="P99" i="2"/>
  <c r="P15" i="2"/>
  <c r="N34" i="9"/>
  <c r="N37" i="9" s="1"/>
  <c r="N38" i="9" s="1"/>
  <c r="M34" i="9"/>
  <c r="M37" i="9" s="1"/>
  <c r="M38" i="9" s="1"/>
  <c r="L34" i="9"/>
  <c r="L37" i="9" s="1"/>
  <c r="L38" i="9" s="1"/>
  <c r="K34" i="9"/>
  <c r="K37" i="9" s="1"/>
  <c r="K38" i="9" s="1"/>
  <c r="J34" i="9"/>
  <c r="J37" i="9" s="1"/>
  <c r="J38" i="9" s="1"/>
  <c r="I34" i="9"/>
  <c r="I37" i="9" s="1"/>
  <c r="I38" i="9" s="1"/>
  <c r="H34" i="9"/>
  <c r="H37" i="9" s="1"/>
  <c r="H38" i="9" s="1"/>
  <c r="G34" i="9"/>
  <c r="G37" i="9" s="1"/>
  <c r="G38" i="9" s="1"/>
  <c r="F34" i="9"/>
  <c r="F37" i="9" s="1"/>
  <c r="F38" i="9" s="1"/>
  <c r="E34" i="9"/>
  <c r="E37" i="9" s="1"/>
  <c r="E38" i="9" s="1"/>
  <c r="D34" i="9"/>
  <c r="D37" i="9" s="1"/>
  <c r="D38" i="9" s="1"/>
  <c r="C34" i="9"/>
  <c r="C37" i="9" s="1"/>
  <c r="C38" i="9" s="1"/>
  <c r="O33" i="9"/>
  <c r="N32" i="9"/>
  <c r="M32" i="9"/>
  <c r="L32" i="9"/>
  <c r="K32" i="9"/>
  <c r="J32" i="9"/>
  <c r="I32" i="9"/>
  <c r="H32" i="9"/>
  <c r="G32" i="9"/>
  <c r="F32" i="9"/>
  <c r="E32" i="9"/>
  <c r="D32" i="9"/>
  <c r="C32" i="9"/>
  <c r="N27" i="9"/>
  <c r="N30" i="9" s="1"/>
  <c r="N31" i="9" s="1"/>
  <c r="M27" i="9"/>
  <c r="M30" i="9" s="1"/>
  <c r="M31" i="9" s="1"/>
  <c r="L27" i="9"/>
  <c r="L30" i="9" s="1"/>
  <c r="L31" i="9" s="1"/>
  <c r="K27" i="9"/>
  <c r="K30" i="9" s="1"/>
  <c r="K31" i="9" s="1"/>
  <c r="J27" i="9"/>
  <c r="J30" i="9" s="1"/>
  <c r="J31" i="9" s="1"/>
  <c r="I27" i="9"/>
  <c r="I30" i="9" s="1"/>
  <c r="I31" i="9" s="1"/>
  <c r="H27" i="9"/>
  <c r="H30" i="9" s="1"/>
  <c r="H31" i="9" s="1"/>
  <c r="G27" i="9"/>
  <c r="G30" i="9" s="1"/>
  <c r="G31" i="9" s="1"/>
  <c r="F27" i="9"/>
  <c r="F30" i="9" s="1"/>
  <c r="F31" i="9" s="1"/>
  <c r="E27" i="9"/>
  <c r="E30" i="9" s="1"/>
  <c r="E31" i="9" s="1"/>
  <c r="D27" i="9"/>
  <c r="D30" i="9" s="1"/>
  <c r="D31" i="9" s="1"/>
  <c r="C27" i="9"/>
  <c r="C30" i="9" s="1"/>
  <c r="C31" i="9" s="1"/>
  <c r="O26" i="9"/>
  <c r="N25" i="9"/>
  <c r="M25" i="9"/>
  <c r="L25" i="9"/>
  <c r="K25" i="9"/>
  <c r="J25" i="9"/>
  <c r="I25" i="9"/>
  <c r="H25" i="9"/>
  <c r="G25" i="9"/>
  <c r="F25" i="9"/>
  <c r="E25" i="9"/>
  <c r="D25" i="9"/>
  <c r="C25" i="9"/>
  <c r="N20" i="9"/>
  <c r="N23" i="9" s="1"/>
  <c r="N24" i="9" s="1"/>
  <c r="M20" i="9"/>
  <c r="M23" i="9" s="1"/>
  <c r="M24" i="9" s="1"/>
  <c r="L20" i="9"/>
  <c r="L23" i="9" s="1"/>
  <c r="L24" i="9" s="1"/>
  <c r="K20" i="9"/>
  <c r="K23" i="9" s="1"/>
  <c r="K24" i="9" s="1"/>
  <c r="J20" i="9"/>
  <c r="J23" i="9" s="1"/>
  <c r="J24" i="9" s="1"/>
  <c r="I20" i="9"/>
  <c r="I23" i="9" s="1"/>
  <c r="I24" i="9" s="1"/>
  <c r="H20" i="9"/>
  <c r="H23" i="9" s="1"/>
  <c r="H24" i="9" s="1"/>
  <c r="G20" i="9"/>
  <c r="G23" i="9" s="1"/>
  <c r="G24" i="9" s="1"/>
  <c r="F20" i="9"/>
  <c r="F23" i="9" s="1"/>
  <c r="F24" i="9" s="1"/>
  <c r="E20" i="9"/>
  <c r="E23" i="9" s="1"/>
  <c r="E24" i="9" s="1"/>
  <c r="D20" i="9"/>
  <c r="D23" i="9" s="1"/>
  <c r="D24" i="9" s="1"/>
  <c r="C20" i="9"/>
  <c r="C23" i="9" s="1"/>
  <c r="C24" i="9" s="1"/>
  <c r="O19" i="9"/>
  <c r="N18" i="9"/>
  <c r="M18" i="9"/>
  <c r="L18" i="9"/>
  <c r="K18" i="9"/>
  <c r="J18" i="9"/>
  <c r="I18" i="9"/>
  <c r="H18" i="9"/>
  <c r="G18" i="9"/>
  <c r="F18" i="9"/>
  <c r="E18" i="9"/>
  <c r="D18" i="9"/>
  <c r="C18" i="9"/>
  <c r="N13" i="9"/>
  <c r="N16" i="9" s="1"/>
  <c r="N17" i="9" s="1"/>
  <c r="M13" i="9"/>
  <c r="M16" i="9" s="1"/>
  <c r="M17" i="9" s="1"/>
  <c r="L13" i="9"/>
  <c r="L16" i="9" s="1"/>
  <c r="L17" i="9" s="1"/>
  <c r="K13" i="9"/>
  <c r="K16" i="9" s="1"/>
  <c r="K17" i="9" s="1"/>
  <c r="J13" i="9"/>
  <c r="J16" i="9" s="1"/>
  <c r="J17" i="9" s="1"/>
  <c r="I13" i="9"/>
  <c r="I16" i="9" s="1"/>
  <c r="I17" i="9" s="1"/>
  <c r="H13" i="9"/>
  <c r="H16" i="9" s="1"/>
  <c r="H17" i="9" s="1"/>
  <c r="G13" i="9"/>
  <c r="G16" i="9" s="1"/>
  <c r="G17" i="9" s="1"/>
  <c r="F13" i="9"/>
  <c r="F16" i="9" s="1"/>
  <c r="F17" i="9" s="1"/>
  <c r="E13" i="9"/>
  <c r="E16" i="9" s="1"/>
  <c r="E17" i="9" s="1"/>
  <c r="D13" i="9"/>
  <c r="D16" i="9" s="1"/>
  <c r="D17" i="9" s="1"/>
  <c r="C13" i="9"/>
  <c r="C16" i="9" s="1"/>
  <c r="C17" i="9" s="1"/>
  <c r="O12" i="9"/>
  <c r="N11" i="9"/>
  <c r="M11" i="9"/>
  <c r="L11" i="9"/>
  <c r="K11" i="9"/>
  <c r="J11" i="9"/>
  <c r="I11" i="9"/>
  <c r="H11" i="9"/>
  <c r="G11" i="9"/>
  <c r="F11" i="9"/>
  <c r="E11" i="9"/>
  <c r="D11" i="9"/>
  <c r="C11" i="9"/>
  <c r="N6" i="9"/>
  <c r="N9" i="9" s="1"/>
  <c r="N10" i="9" s="1"/>
  <c r="M6" i="9"/>
  <c r="M9" i="9" s="1"/>
  <c r="M10" i="9" s="1"/>
  <c r="L6" i="9"/>
  <c r="L9" i="9" s="1"/>
  <c r="L10" i="9" s="1"/>
  <c r="K6" i="9"/>
  <c r="K9" i="9" s="1"/>
  <c r="K10" i="9" s="1"/>
  <c r="J6" i="9"/>
  <c r="J9" i="9" s="1"/>
  <c r="J10" i="9" s="1"/>
  <c r="I6" i="9"/>
  <c r="I9" i="9" s="1"/>
  <c r="I10" i="9" s="1"/>
  <c r="H6" i="9"/>
  <c r="H9" i="9" s="1"/>
  <c r="H10" i="9" s="1"/>
  <c r="G6" i="9"/>
  <c r="G9" i="9" s="1"/>
  <c r="G10" i="9" s="1"/>
  <c r="F6" i="9"/>
  <c r="F9" i="9" s="1"/>
  <c r="F10" i="9" s="1"/>
  <c r="E6" i="9"/>
  <c r="E9" i="9" s="1"/>
  <c r="E10" i="9" s="1"/>
  <c r="D6" i="9"/>
  <c r="D9" i="9" s="1"/>
  <c r="D10" i="9" s="1"/>
  <c r="C6" i="9"/>
  <c r="C9" i="9" s="1"/>
  <c r="C10" i="9" s="1"/>
  <c r="O5" i="9"/>
  <c r="N4" i="9"/>
  <c r="M4" i="9"/>
  <c r="L4" i="9"/>
  <c r="K4" i="9"/>
  <c r="J4" i="9"/>
  <c r="I4" i="9"/>
  <c r="H4" i="9"/>
  <c r="G4" i="9"/>
  <c r="F4" i="9"/>
  <c r="E4" i="9"/>
  <c r="D4" i="9"/>
  <c r="C4" i="9"/>
  <c r="N188" i="8"/>
  <c r="N191" i="8" s="1"/>
  <c r="N192" i="8" s="1"/>
  <c r="M188" i="8"/>
  <c r="M191" i="8" s="1"/>
  <c r="M192" i="8" s="1"/>
  <c r="L188" i="8"/>
  <c r="L191" i="8" s="1"/>
  <c r="L192" i="8" s="1"/>
  <c r="K188" i="8"/>
  <c r="K191" i="8" s="1"/>
  <c r="K192" i="8" s="1"/>
  <c r="J188" i="8"/>
  <c r="J191" i="8" s="1"/>
  <c r="J192" i="8" s="1"/>
  <c r="I188" i="8"/>
  <c r="I191" i="8" s="1"/>
  <c r="I192" i="8" s="1"/>
  <c r="H188" i="8"/>
  <c r="H191" i="8" s="1"/>
  <c r="H192" i="8" s="1"/>
  <c r="G188" i="8"/>
  <c r="G191" i="8" s="1"/>
  <c r="G192" i="8" s="1"/>
  <c r="F188" i="8"/>
  <c r="F191" i="8" s="1"/>
  <c r="F192" i="8" s="1"/>
  <c r="E188" i="8"/>
  <c r="E191" i="8" s="1"/>
  <c r="E192" i="8" s="1"/>
  <c r="D188" i="8"/>
  <c r="D191" i="8" s="1"/>
  <c r="D192" i="8" s="1"/>
  <c r="C188" i="8"/>
  <c r="C191" i="8" s="1"/>
  <c r="C192" i="8" s="1"/>
  <c r="O187" i="8"/>
  <c r="N186" i="8"/>
  <c r="M186" i="8"/>
  <c r="L186" i="8"/>
  <c r="K186" i="8"/>
  <c r="J186" i="8"/>
  <c r="I186" i="8"/>
  <c r="H186" i="8"/>
  <c r="G186" i="8"/>
  <c r="F186" i="8"/>
  <c r="E186" i="8"/>
  <c r="D186" i="8"/>
  <c r="C186" i="8"/>
  <c r="N181" i="8"/>
  <c r="N184" i="8" s="1"/>
  <c r="N185" i="8" s="1"/>
  <c r="M181" i="8"/>
  <c r="M184" i="8" s="1"/>
  <c r="M185" i="8" s="1"/>
  <c r="L181" i="8"/>
  <c r="L184" i="8" s="1"/>
  <c r="L185" i="8" s="1"/>
  <c r="K181" i="8"/>
  <c r="K184" i="8" s="1"/>
  <c r="K185" i="8" s="1"/>
  <c r="J181" i="8"/>
  <c r="J184" i="8" s="1"/>
  <c r="J185" i="8" s="1"/>
  <c r="I181" i="8"/>
  <c r="I184" i="8" s="1"/>
  <c r="I185" i="8" s="1"/>
  <c r="H181" i="8"/>
  <c r="H184" i="8" s="1"/>
  <c r="H185" i="8" s="1"/>
  <c r="G181" i="8"/>
  <c r="G184" i="8" s="1"/>
  <c r="G185" i="8" s="1"/>
  <c r="F181" i="8"/>
  <c r="F184" i="8" s="1"/>
  <c r="F185" i="8" s="1"/>
  <c r="E181" i="8"/>
  <c r="E184" i="8" s="1"/>
  <c r="E185" i="8" s="1"/>
  <c r="D181" i="8"/>
  <c r="D184" i="8" s="1"/>
  <c r="D185" i="8" s="1"/>
  <c r="C181" i="8"/>
  <c r="C184" i="8" s="1"/>
  <c r="C185" i="8" s="1"/>
  <c r="O180" i="8"/>
  <c r="N179" i="8"/>
  <c r="M179" i="8"/>
  <c r="L179" i="8"/>
  <c r="K179" i="8"/>
  <c r="J179" i="8"/>
  <c r="I179" i="8"/>
  <c r="H179" i="8"/>
  <c r="G179" i="8"/>
  <c r="F179" i="8"/>
  <c r="E179" i="8"/>
  <c r="D179" i="8"/>
  <c r="C179" i="8"/>
  <c r="N174" i="8"/>
  <c r="N177" i="8" s="1"/>
  <c r="N178" i="8" s="1"/>
  <c r="M174" i="8"/>
  <c r="M177" i="8" s="1"/>
  <c r="M178" i="8" s="1"/>
  <c r="L174" i="8"/>
  <c r="L177" i="8" s="1"/>
  <c r="L178" i="8" s="1"/>
  <c r="K174" i="8"/>
  <c r="K177" i="8" s="1"/>
  <c r="K178" i="8" s="1"/>
  <c r="J174" i="8"/>
  <c r="J177" i="8" s="1"/>
  <c r="J178" i="8" s="1"/>
  <c r="I174" i="8"/>
  <c r="I177" i="8" s="1"/>
  <c r="I178" i="8" s="1"/>
  <c r="H174" i="8"/>
  <c r="H177" i="8" s="1"/>
  <c r="H178" i="8" s="1"/>
  <c r="G174" i="8"/>
  <c r="G177" i="8" s="1"/>
  <c r="G178" i="8" s="1"/>
  <c r="F174" i="8"/>
  <c r="F177" i="8" s="1"/>
  <c r="F178" i="8" s="1"/>
  <c r="E174" i="8"/>
  <c r="E177" i="8" s="1"/>
  <c r="E178" i="8" s="1"/>
  <c r="D174" i="8"/>
  <c r="D177" i="8" s="1"/>
  <c r="D178" i="8" s="1"/>
  <c r="C174" i="8"/>
  <c r="C177" i="8" s="1"/>
  <c r="C178" i="8" s="1"/>
  <c r="O173" i="8"/>
  <c r="N172" i="8"/>
  <c r="M172" i="8"/>
  <c r="L172" i="8"/>
  <c r="K172" i="8"/>
  <c r="J172" i="8"/>
  <c r="I172" i="8"/>
  <c r="H172" i="8"/>
  <c r="G172" i="8"/>
  <c r="F172" i="8"/>
  <c r="E172" i="8"/>
  <c r="D172" i="8"/>
  <c r="C172" i="8"/>
  <c r="N167" i="8"/>
  <c r="N170" i="8" s="1"/>
  <c r="N171" i="8" s="1"/>
  <c r="M167" i="8"/>
  <c r="M170" i="8" s="1"/>
  <c r="M171" i="8" s="1"/>
  <c r="L167" i="8"/>
  <c r="L170" i="8" s="1"/>
  <c r="L171" i="8" s="1"/>
  <c r="K167" i="8"/>
  <c r="K170" i="8" s="1"/>
  <c r="K171" i="8" s="1"/>
  <c r="J167" i="8"/>
  <c r="J170" i="8" s="1"/>
  <c r="J171" i="8" s="1"/>
  <c r="I167" i="8"/>
  <c r="I170" i="8" s="1"/>
  <c r="I171" i="8" s="1"/>
  <c r="H167" i="8"/>
  <c r="H170" i="8" s="1"/>
  <c r="H171" i="8" s="1"/>
  <c r="G167" i="8"/>
  <c r="G170" i="8" s="1"/>
  <c r="G171" i="8" s="1"/>
  <c r="F167" i="8"/>
  <c r="F170" i="8" s="1"/>
  <c r="F171" i="8" s="1"/>
  <c r="E167" i="8"/>
  <c r="E170" i="8" s="1"/>
  <c r="E171" i="8" s="1"/>
  <c r="D167" i="8"/>
  <c r="D170" i="8" s="1"/>
  <c r="D171" i="8" s="1"/>
  <c r="C167" i="8"/>
  <c r="C170" i="8" s="1"/>
  <c r="C171" i="8" s="1"/>
  <c r="O166" i="8"/>
  <c r="N165" i="8"/>
  <c r="M165" i="8"/>
  <c r="L165" i="8"/>
  <c r="K165" i="8"/>
  <c r="J165" i="8"/>
  <c r="I165" i="8"/>
  <c r="H165" i="8"/>
  <c r="G165" i="8"/>
  <c r="F165" i="8"/>
  <c r="E165" i="8"/>
  <c r="D165" i="8"/>
  <c r="C165" i="8"/>
  <c r="N160" i="8"/>
  <c r="N163" i="8" s="1"/>
  <c r="N164" i="8" s="1"/>
  <c r="M160" i="8"/>
  <c r="M163" i="8" s="1"/>
  <c r="M164" i="8" s="1"/>
  <c r="L160" i="8"/>
  <c r="L163" i="8" s="1"/>
  <c r="L164" i="8" s="1"/>
  <c r="K160" i="8"/>
  <c r="K163" i="8" s="1"/>
  <c r="K164" i="8" s="1"/>
  <c r="J160" i="8"/>
  <c r="J163" i="8" s="1"/>
  <c r="J164" i="8" s="1"/>
  <c r="I160" i="8"/>
  <c r="I163" i="8" s="1"/>
  <c r="I164" i="8" s="1"/>
  <c r="H160" i="8"/>
  <c r="H163" i="8" s="1"/>
  <c r="H164" i="8" s="1"/>
  <c r="G160" i="8"/>
  <c r="G163" i="8" s="1"/>
  <c r="G164" i="8" s="1"/>
  <c r="F160" i="8"/>
  <c r="F163" i="8" s="1"/>
  <c r="F164" i="8" s="1"/>
  <c r="E160" i="8"/>
  <c r="E163" i="8" s="1"/>
  <c r="E164" i="8" s="1"/>
  <c r="D160" i="8"/>
  <c r="D163" i="8" s="1"/>
  <c r="D164" i="8" s="1"/>
  <c r="C160" i="8"/>
  <c r="C163" i="8" s="1"/>
  <c r="C164" i="8" s="1"/>
  <c r="O159" i="8"/>
  <c r="N158" i="8"/>
  <c r="M158" i="8"/>
  <c r="L158" i="8"/>
  <c r="K158" i="8"/>
  <c r="J158" i="8"/>
  <c r="I158" i="8"/>
  <c r="H158" i="8"/>
  <c r="G158" i="8"/>
  <c r="F158" i="8"/>
  <c r="E158" i="8"/>
  <c r="D158" i="8"/>
  <c r="C158" i="8"/>
  <c r="N153" i="8"/>
  <c r="N156" i="8" s="1"/>
  <c r="N157" i="8" s="1"/>
  <c r="M153" i="8"/>
  <c r="M156" i="8" s="1"/>
  <c r="M157" i="8" s="1"/>
  <c r="L153" i="8"/>
  <c r="L156" i="8" s="1"/>
  <c r="L157" i="8" s="1"/>
  <c r="K153" i="8"/>
  <c r="K156" i="8" s="1"/>
  <c r="K157" i="8" s="1"/>
  <c r="J153" i="8"/>
  <c r="J156" i="8" s="1"/>
  <c r="J157" i="8" s="1"/>
  <c r="I153" i="8"/>
  <c r="I156" i="8" s="1"/>
  <c r="I157" i="8" s="1"/>
  <c r="H153" i="8"/>
  <c r="H156" i="8" s="1"/>
  <c r="H157" i="8" s="1"/>
  <c r="G153" i="8"/>
  <c r="G156" i="8" s="1"/>
  <c r="G157" i="8" s="1"/>
  <c r="F153" i="8"/>
  <c r="F156" i="8" s="1"/>
  <c r="F157" i="8" s="1"/>
  <c r="E153" i="8"/>
  <c r="E156" i="8" s="1"/>
  <c r="E157" i="8" s="1"/>
  <c r="D153" i="8"/>
  <c r="D156" i="8" s="1"/>
  <c r="D157" i="8" s="1"/>
  <c r="C153" i="8"/>
  <c r="C156" i="8" s="1"/>
  <c r="C157" i="8" s="1"/>
  <c r="O152" i="8"/>
  <c r="N151" i="8"/>
  <c r="M151" i="8"/>
  <c r="L151" i="8"/>
  <c r="K151" i="8"/>
  <c r="J151" i="8"/>
  <c r="I151" i="8"/>
  <c r="H151" i="8"/>
  <c r="G151" i="8"/>
  <c r="F151" i="8"/>
  <c r="E151" i="8"/>
  <c r="D151" i="8"/>
  <c r="C151" i="8"/>
  <c r="N146" i="8"/>
  <c r="N149" i="8" s="1"/>
  <c r="N150" i="8" s="1"/>
  <c r="M146" i="8"/>
  <c r="M149" i="8" s="1"/>
  <c r="M150" i="8" s="1"/>
  <c r="L146" i="8"/>
  <c r="L149" i="8" s="1"/>
  <c r="L150" i="8" s="1"/>
  <c r="K146" i="8"/>
  <c r="K149" i="8" s="1"/>
  <c r="K150" i="8" s="1"/>
  <c r="J146" i="8"/>
  <c r="J149" i="8" s="1"/>
  <c r="J150" i="8" s="1"/>
  <c r="I146" i="8"/>
  <c r="I149" i="8" s="1"/>
  <c r="I150" i="8" s="1"/>
  <c r="H146" i="8"/>
  <c r="H149" i="8" s="1"/>
  <c r="H150" i="8" s="1"/>
  <c r="G146" i="8"/>
  <c r="G149" i="8" s="1"/>
  <c r="G150" i="8" s="1"/>
  <c r="F146" i="8"/>
  <c r="F149" i="8" s="1"/>
  <c r="F150" i="8" s="1"/>
  <c r="E146" i="8"/>
  <c r="E149" i="8" s="1"/>
  <c r="E150" i="8" s="1"/>
  <c r="D146" i="8"/>
  <c r="D149" i="8" s="1"/>
  <c r="D150" i="8" s="1"/>
  <c r="C146" i="8"/>
  <c r="C149" i="8" s="1"/>
  <c r="C150" i="8" s="1"/>
  <c r="O145" i="8"/>
  <c r="N144" i="8"/>
  <c r="M144" i="8"/>
  <c r="L144" i="8"/>
  <c r="K144" i="8"/>
  <c r="J144" i="8"/>
  <c r="I144" i="8"/>
  <c r="H144" i="8"/>
  <c r="G144" i="8"/>
  <c r="F144" i="8"/>
  <c r="E144" i="8"/>
  <c r="D144" i="8"/>
  <c r="C144" i="8"/>
  <c r="N139" i="8"/>
  <c r="N142" i="8" s="1"/>
  <c r="N143" i="8" s="1"/>
  <c r="M139" i="8"/>
  <c r="M142" i="8" s="1"/>
  <c r="M143" i="8" s="1"/>
  <c r="L139" i="8"/>
  <c r="L142" i="8" s="1"/>
  <c r="L143" i="8" s="1"/>
  <c r="K139" i="8"/>
  <c r="K142" i="8" s="1"/>
  <c r="K143" i="8" s="1"/>
  <c r="J139" i="8"/>
  <c r="J142" i="8" s="1"/>
  <c r="J143" i="8" s="1"/>
  <c r="I139" i="8"/>
  <c r="I142" i="8" s="1"/>
  <c r="I143" i="8" s="1"/>
  <c r="H139" i="8"/>
  <c r="H142" i="8" s="1"/>
  <c r="H143" i="8" s="1"/>
  <c r="G139" i="8"/>
  <c r="G142" i="8" s="1"/>
  <c r="G143" i="8" s="1"/>
  <c r="F139" i="8"/>
  <c r="F142" i="8" s="1"/>
  <c r="F143" i="8" s="1"/>
  <c r="E139" i="8"/>
  <c r="E142" i="8" s="1"/>
  <c r="E143" i="8" s="1"/>
  <c r="D139" i="8"/>
  <c r="D142" i="8" s="1"/>
  <c r="D143" i="8" s="1"/>
  <c r="C139" i="8"/>
  <c r="C142" i="8" s="1"/>
  <c r="C143" i="8" s="1"/>
  <c r="O138" i="8"/>
  <c r="N137" i="8"/>
  <c r="M137" i="8"/>
  <c r="L137" i="8"/>
  <c r="K137" i="8"/>
  <c r="J137" i="8"/>
  <c r="I137" i="8"/>
  <c r="H137" i="8"/>
  <c r="G137" i="8"/>
  <c r="F137" i="8"/>
  <c r="E137" i="8"/>
  <c r="D137" i="8"/>
  <c r="C137" i="8"/>
  <c r="N132" i="8"/>
  <c r="N135" i="8" s="1"/>
  <c r="N136" i="8" s="1"/>
  <c r="M132" i="8"/>
  <c r="M135" i="8" s="1"/>
  <c r="M136" i="8" s="1"/>
  <c r="L132" i="8"/>
  <c r="L135" i="8" s="1"/>
  <c r="L136" i="8" s="1"/>
  <c r="K132" i="8"/>
  <c r="K135" i="8" s="1"/>
  <c r="K136" i="8" s="1"/>
  <c r="J132" i="8"/>
  <c r="J135" i="8" s="1"/>
  <c r="J136" i="8" s="1"/>
  <c r="I132" i="8"/>
  <c r="I135" i="8" s="1"/>
  <c r="I136" i="8" s="1"/>
  <c r="H132" i="8"/>
  <c r="H135" i="8" s="1"/>
  <c r="H136" i="8" s="1"/>
  <c r="G132" i="8"/>
  <c r="G135" i="8" s="1"/>
  <c r="G136" i="8" s="1"/>
  <c r="F132" i="8"/>
  <c r="F135" i="8" s="1"/>
  <c r="F136" i="8" s="1"/>
  <c r="E132" i="8"/>
  <c r="E135" i="8" s="1"/>
  <c r="E136" i="8" s="1"/>
  <c r="D132" i="8"/>
  <c r="D135" i="8" s="1"/>
  <c r="D136" i="8" s="1"/>
  <c r="C132" i="8"/>
  <c r="C135" i="8" s="1"/>
  <c r="C136" i="8" s="1"/>
  <c r="O131" i="8"/>
  <c r="N130" i="8"/>
  <c r="M130" i="8"/>
  <c r="L130" i="8"/>
  <c r="K130" i="8"/>
  <c r="J130" i="8"/>
  <c r="I130" i="8"/>
  <c r="H130" i="8"/>
  <c r="G130" i="8"/>
  <c r="F130" i="8"/>
  <c r="E130" i="8"/>
  <c r="D130" i="8"/>
  <c r="C130" i="8"/>
  <c r="N125" i="8"/>
  <c r="N128" i="8" s="1"/>
  <c r="N129" i="8" s="1"/>
  <c r="M125" i="8"/>
  <c r="M128" i="8" s="1"/>
  <c r="M129" i="8" s="1"/>
  <c r="L125" i="8"/>
  <c r="L128" i="8" s="1"/>
  <c r="L129" i="8" s="1"/>
  <c r="K125" i="8"/>
  <c r="K128" i="8" s="1"/>
  <c r="K129" i="8" s="1"/>
  <c r="J125" i="8"/>
  <c r="J128" i="8" s="1"/>
  <c r="J129" i="8" s="1"/>
  <c r="I125" i="8"/>
  <c r="I128" i="8" s="1"/>
  <c r="I129" i="8" s="1"/>
  <c r="H125" i="8"/>
  <c r="H128" i="8" s="1"/>
  <c r="H129" i="8" s="1"/>
  <c r="G125" i="8"/>
  <c r="G128" i="8" s="1"/>
  <c r="G129" i="8" s="1"/>
  <c r="F125" i="8"/>
  <c r="F128" i="8" s="1"/>
  <c r="F129" i="8" s="1"/>
  <c r="E125" i="8"/>
  <c r="E128" i="8" s="1"/>
  <c r="E129" i="8" s="1"/>
  <c r="D125" i="8"/>
  <c r="D128" i="8" s="1"/>
  <c r="D129" i="8" s="1"/>
  <c r="C125" i="8"/>
  <c r="C128" i="8" s="1"/>
  <c r="C129" i="8" s="1"/>
  <c r="O124" i="8"/>
  <c r="N123" i="8"/>
  <c r="M123" i="8"/>
  <c r="L123" i="8"/>
  <c r="K123" i="8"/>
  <c r="J123" i="8"/>
  <c r="I123" i="8"/>
  <c r="H123" i="8"/>
  <c r="G123" i="8"/>
  <c r="F123" i="8"/>
  <c r="E123" i="8"/>
  <c r="D123" i="8"/>
  <c r="C123" i="8"/>
  <c r="N118" i="8"/>
  <c r="N121" i="8" s="1"/>
  <c r="N122" i="8" s="1"/>
  <c r="M118" i="8"/>
  <c r="M121" i="8" s="1"/>
  <c r="M122" i="8" s="1"/>
  <c r="L118" i="8"/>
  <c r="L121" i="8" s="1"/>
  <c r="L122" i="8" s="1"/>
  <c r="K118" i="8"/>
  <c r="K121" i="8" s="1"/>
  <c r="K122" i="8" s="1"/>
  <c r="J118" i="8"/>
  <c r="J121" i="8" s="1"/>
  <c r="J122" i="8" s="1"/>
  <c r="I118" i="8"/>
  <c r="I121" i="8" s="1"/>
  <c r="I122" i="8" s="1"/>
  <c r="H118" i="8"/>
  <c r="H121" i="8" s="1"/>
  <c r="H122" i="8" s="1"/>
  <c r="G118" i="8"/>
  <c r="G121" i="8" s="1"/>
  <c r="G122" i="8" s="1"/>
  <c r="F118" i="8"/>
  <c r="F121" i="8" s="1"/>
  <c r="F122" i="8" s="1"/>
  <c r="E118" i="8"/>
  <c r="E121" i="8" s="1"/>
  <c r="E122" i="8" s="1"/>
  <c r="D118" i="8"/>
  <c r="D121" i="8" s="1"/>
  <c r="D122" i="8" s="1"/>
  <c r="C118" i="8"/>
  <c r="C121" i="8" s="1"/>
  <c r="C122" i="8" s="1"/>
  <c r="O117" i="8"/>
  <c r="N116" i="8"/>
  <c r="M116" i="8"/>
  <c r="L116" i="8"/>
  <c r="K116" i="8"/>
  <c r="J116" i="8"/>
  <c r="I116" i="8"/>
  <c r="H116" i="8"/>
  <c r="G116" i="8"/>
  <c r="F116" i="8"/>
  <c r="E116" i="8"/>
  <c r="D116" i="8"/>
  <c r="C116" i="8"/>
  <c r="N111" i="8"/>
  <c r="N114" i="8" s="1"/>
  <c r="N115" i="8" s="1"/>
  <c r="M111" i="8"/>
  <c r="M114" i="8" s="1"/>
  <c r="M115" i="8" s="1"/>
  <c r="L111" i="8"/>
  <c r="L114" i="8" s="1"/>
  <c r="L115" i="8" s="1"/>
  <c r="K111" i="8"/>
  <c r="K114" i="8" s="1"/>
  <c r="K115" i="8" s="1"/>
  <c r="J111" i="8"/>
  <c r="J114" i="8" s="1"/>
  <c r="J115" i="8" s="1"/>
  <c r="I111" i="8"/>
  <c r="I114" i="8" s="1"/>
  <c r="I115" i="8" s="1"/>
  <c r="H111" i="8"/>
  <c r="H114" i="8" s="1"/>
  <c r="H115" i="8" s="1"/>
  <c r="G111" i="8"/>
  <c r="G114" i="8" s="1"/>
  <c r="G115" i="8" s="1"/>
  <c r="F111" i="8"/>
  <c r="F114" i="8" s="1"/>
  <c r="F115" i="8" s="1"/>
  <c r="E111" i="8"/>
  <c r="E114" i="8" s="1"/>
  <c r="E115" i="8" s="1"/>
  <c r="D111" i="8"/>
  <c r="D114" i="8" s="1"/>
  <c r="D115" i="8" s="1"/>
  <c r="C111" i="8"/>
  <c r="C114" i="8" s="1"/>
  <c r="C115" i="8" s="1"/>
  <c r="O110" i="8"/>
  <c r="N109" i="8"/>
  <c r="M109" i="8"/>
  <c r="L109" i="8"/>
  <c r="K109" i="8"/>
  <c r="J109" i="8"/>
  <c r="I109" i="8"/>
  <c r="H109" i="8"/>
  <c r="G109" i="8"/>
  <c r="F109" i="8"/>
  <c r="E109" i="8"/>
  <c r="D109" i="8"/>
  <c r="C109" i="8"/>
  <c r="N104" i="8"/>
  <c r="N107" i="8" s="1"/>
  <c r="N108" i="8" s="1"/>
  <c r="M104" i="8"/>
  <c r="M107" i="8" s="1"/>
  <c r="M108" i="8" s="1"/>
  <c r="L104" i="8"/>
  <c r="L107" i="8" s="1"/>
  <c r="L108" i="8" s="1"/>
  <c r="K104" i="8"/>
  <c r="K107" i="8" s="1"/>
  <c r="K108" i="8" s="1"/>
  <c r="J104" i="8"/>
  <c r="J107" i="8" s="1"/>
  <c r="J108" i="8" s="1"/>
  <c r="I104" i="8"/>
  <c r="I107" i="8" s="1"/>
  <c r="I108" i="8" s="1"/>
  <c r="H104" i="8"/>
  <c r="H107" i="8" s="1"/>
  <c r="H108" i="8" s="1"/>
  <c r="G104" i="8"/>
  <c r="G107" i="8" s="1"/>
  <c r="G108" i="8" s="1"/>
  <c r="F104" i="8"/>
  <c r="F107" i="8" s="1"/>
  <c r="F108" i="8" s="1"/>
  <c r="E104" i="8"/>
  <c r="E107" i="8" s="1"/>
  <c r="E108" i="8" s="1"/>
  <c r="D104" i="8"/>
  <c r="D107" i="8" s="1"/>
  <c r="D108" i="8" s="1"/>
  <c r="C104" i="8"/>
  <c r="C107" i="8" s="1"/>
  <c r="C108" i="8" s="1"/>
  <c r="O103" i="8"/>
  <c r="N102" i="8"/>
  <c r="M102" i="8"/>
  <c r="L102" i="8"/>
  <c r="K102" i="8"/>
  <c r="J102" i="8"/>
  <c r="I102" i="8"/>
  <c r="H102" i="8"/>
  <c r="G102" i="8"/>
  <c r="F102" i="8"/>
  <c r="E102" i="8"/>
  <c r="D102" i="8"/>
  <c r="C102" i="8"/>
  <c r="N97" i="8"/>
  <c r="N100" i="8" s="1"/>
  <c r="N101" i="8" s="1"/>
  <c r="M97" i="8"/>
  <c r="M100" i="8" s="1"/>
  <c r="M101" i="8" s="1"/>
  <c r="L97" i="8"/>
  <c r="L100" i="8" s="1"/>
  <c r="L101" i="8" s="1"/>
  <c r="K97" i="8"/>
  <c r="K100" i="8" s="1"/>
  <c r="K101" i="8" s="1"/>
  <c r="J97" i="8"/>
  <c r="J100" i="8" s="1"/>
  <c r="J101" i="8" s="1"/>
  <c r="I97" i="8"/>
  <c r="I100" i="8" s="1"/>
  <c r="I101" i="8" s="1"/>
  <c r="H97" i="8"/>
  <c r="H100" i="8" s="1"/>
  <c r="H101" i="8" s="1"/>
  <c r="G97" i="8"/>
  <c r="G100" i="8" s="1"/>
  <c r="G101" i="8" s="1"/>
  <c r="F97" i="8"/>
  <c r="F100" i="8" s="1"/>
  <c r="F101" i="8" s="1"/>
  <c r="E97" i="8"/>
  <c r="E100" i="8" s="1"/>
  <c r="E101" i="8" s="1"/>
  <c r="D97" i="8"/>
  <c r="D100" i="8" s="1"/>
  <c r="D101" i="8" s="1"/>
  <c r="C97" i="8"/>
  <c r="C100" i="8" s="1"/>
  <c r="C101" i="8" s="1"/>
  <c r="O96" i="8"/>
  <c r="N95" i="8"/>
  <c r="M95" i="8"/>
  <c r="L95" i="8"/>
  <c r="K95" i="8"/>
  <c r="J95" i="8"/>
  <c r="I95" i="8"/>
  <c r="H95" i="8"/>
  <c r="G95" i="8"/>
  <c r="F95" i="8"/>
  <c r="E95" i="8"/>
  <c r="D95" i="8"/>
  <c r="C95" i="8"/>
  <c r="N90" i="8"/>
  <c r="N93" i="8" s="1"/>
  <c r="N94" i="8" s="1"/>
  <c r="M90" i="8"/>
  <c r="M93" i="8" s="1"/>
  <c r="M94" i="8" s="1"/>
  <c r="L90" i="8"/>
  <c r="L93" i="8" s="1"/>
  <c r="L94" i="8" s="1"/>
  <c r="K90" i="8"/>
  <c r="K93" i="8" s="1"/>
  <c r="K94" i="8" s="1"/>
  <c r="J90" i="8"/>
  <c r="J93" i="8" s="1"/>
  <c r="J94" i="8" s="1"/>
  <c r="I90" i="8"/>
  <c r="I93" i="8" s="1"/>
  <c r="I94" i="8" s="1"/>
  <c r="H90" i="8"/>
  <c r="H93" i="8" s="1"/>
  <c r="H94" i="8" s="1"/>
  <c r="G90" i="8"/>
  <c r="G93" i="8" s="1"/>
  <c r="G94" i="8" s="1"/>
  <c r="F90" i="8"/>
  <c r="F93" i="8" s="1"/>
  <c r="F94" i="8" s="1"/>
  <c r="E90" i="8"/>
  <c r="E93" i="8" s="1"/>
  <c r="E94" i="8" s="1"/>
  <c r="D90" i="8"/>
  <c r="D93" i="8" s="1"/>
  <c r="D94" i="8" s="1"/>
  <c r="C90" i="8"/>
  <c r="C93" i="8" s="1"/>
  <c r="C94" i="8" s="1"/>
  <c r="O89" i="8"/>
  <c r="N88" i="8"/>
  <c r="M88" i="8"/>
  <c r="L88" i="8"/>
  <c r="K88" i="8"/>
  <c r="J88" i="8"/>
  <c r="I88" i="8"/>
  <c r="H88" i="8"/>
  <c r="G88" i="8"/>
  <c r="F88" i="8"/>
  <c r="E88" i="8"/>
  <c r="D88" i="8"/>
  <c r="C88" i="8"/>
  <c r="N83" i="8"/>
  <c r="N86" i="8" s="1"/>
  <c r="N87" i="8" s="1"/>
  <c r="M83" i="8"/>
  <c r="M86" i="8" s="1"/>
  <c r="M87" i="8" s="1"/>
  <c r="L83" i="8"/>
  <c r="L86" i="8" s="1"/>
  <c r="L87" i="8" s="1"/>
  <c r="K83" i="8"/>
  <c r="K86" i="8" s="1"/>
  <c r="K87" i="8" s="1"/>
  <c r="J83" i="8"/>
  <c r="J86" i="8" s="1"/>
  <c r="J87" i="8" s="1"/>
  <c r="I83" i="8"/>
  <c r="I86" i="8" s="1"/>
  <c r="I87" i="8" s="1"/>
  <c r="H83" i="8"/>
  <c r="H86" i="8" s="1"/>
  <c r="H87" i="8" s="1"/>
  <c r="G83" i="8"/>
  <c r="G86" i="8" s="1"/>
  <c r="G87" i="8" s="1"/>
  <c r="F83" i="8"/>
  <c r="F86" i="8" s="1"/>
  <c r="F87" i="8" s="1"/>
  <c r="E83" i="8"/>
  <c r="E86" i="8" s="1"/>
  <c r="E87" i="8" s="1"/>
  <c r="D83" i="8"/>
  <c r="D86" i="8" s="1"/>
  <c r="D87" i="8" s="1"/>
  <c r="C83" i="8"/>
  <c r="C86" i="8" s="1"/>
  <c r="C87" i="8" s="1"/>
  <c r="O82" i="8"/>
  <c r="N81" i="8"/>
  <c r="M81" i="8"/>
  <c r="L81" i="8"/>
  <c r="K81" i="8"/>
  <c r="J81" i="8"/>
  <c r="I81" i="8"/>
  <c r="H81" i="8"/>
  <c r="G81" i="8"/>
  <c r="F81" i="8"/>
  <c r="E81" i="8"/>
  <c r="D81" i="8"/>
  <c r="C81" i="8"/>
  <c r="N76" i="8"/>
  <c r="N79" i="8" s="1"/>
  <c r="N80" i="8" s="1"/>
  <c r="M76" i="8"/>
  <c r="M79" i="8" s="1"/>
  <c r="M80" i="8" s="1"/>
  <c r="L76" i="8"/>
  <c r="L79" i="8" s="1"/>
  <c r="L80" i="8" s="1"/>
  <c r="K76" i="8"/>
  <c r="K79" i="8" s="1"/>
  <c r="K80" i="8" s="1"/>
  <c r="J76" i="8"/>
  <c r="J79" i="8" s="1"/>
  <c r="J80" i="8" s="1"/>
  <c r="I76" i="8"/>
  <c r="I79" i="8" s="1"/>
  <c r="I80" i="8" s="1"/>
  <c r="H76" i="8"/>
  <c r="H79" i="8" s="1"/>
  <c r="H80" i="8" s="1"/>
  <c r="G76" i="8"/>
  <c r="G79" i="8" s="1"/>
  <c r="G80" i="8" s="1"/>
  <c r="F76" i="8"/>
  <c r="F79" i="8" s="1"/>
  <c r="F80" i="8" s="1"/>
  <c r="E76" i="8"/>
  <c r="E79" i="8" s="1"/>
  <c r="E80" i="8" s="1"/>
  <c r="D76" i="8"/>
  <c r="D79" i="8" s="1"/>
  <c r="D80" i="8" s="1"/>
  <c r="C76" i="8"/>
  <c r="C79" i="8" s="1"/>
  <c r="C80" i="8" s="1"/>
  <c r="O75" i="8"/>
  <c r="N74" i="8"/>
  <c r="M74" i="8"/>
  <c r="L74" i="8"/>
  <c r="K74" i="8"/>
  <c r="J74" i="8"/>
  <c r="I74" i="8"/>
  <c r="H74" i="8"/>
  <c r="G74" i="8"/>
  <c r="F74" i="8"/>
  <c r="E74" i="8"/>
  <c r="D74" i="8"/>
  <c r="C74" i="8"/>
  <c r="N69" i="8"/>
  <c r="N72" i="8" s="1"/>
  <c r="N73" i="8" s="1"/>
  <c r="M69" i="8"/>
  <c r="M72" i="8" s="1"/>
  <c r="M73" i="8" s="1"/>
  <c r="L69" i="8"/>
  <c r="L72" i="8" s="1"/>
  <c r="L73" i="8" s="1"/>
  <c r="K69" i="8"/>
  <c r="K72" i="8" s="1"/>
  <c r="K73" i="8" s="1"/>
  <c r="J69" i="8"/>
  <c r="J72" i="8" s="1"/>
  <c r="J73" i="8" s="1"/>
  <c r="I69" i="8"/>
  <c r="I72" i="8" s="1"/>
  <c r="I73" i="8" s="1"/>
  <c r="H69" i="8"/>
  <c r="H72" i="8" s="1"/>
  <c r="H73" i="8" s="1"/>
  <c r="G69" i="8"/>
  <c r="G72" i="8" s="1"/>
  <c r="G73" i="8" s="1"/>
  <c r="F69" i="8"/>
  <c r="F72" i="8" s="1"/>
  <c r="F73" i="8" s="1"/>
  <c r="E69" i="8"/>
  <c r="E72" i="8" s="1"/>
  <c r="E73" i="8" s="1"/>
  <c r="D69" i="8"/>
  <c r="D72" i="8" s="1"/>
  <c r="D73" i="8" s="1"/>
  <c r="C69" i="8"/>
  <c r="C72" i="8" s="1"/>
  <c r="C73" i="8" s="1"/>
  <c r="O68" i="8"/>
  <c r="N67" i="8"/>
  <c r="M67" i="8"/>
  <c r="L67" i="8"/>
  <c r="K67" i="8"/>
  <c r="J67" i="8"/>
  <c r="I67" i="8"/>
  <c r="H67" i="8"/>
  <c r="G67" i="8"/>
  <c r="F67" i="8"/>
  <c r="E67" i="8"/>
  <c r="D67" i="8"/>
  <c r="C67" i="8"/>
  <c r="N62" i="8"/>
  <c r="N65" i="8" s="1"/>
  <c r="N66" i="8" s="1"/>
  <c r="M62" i="8"/>
  <c r="M65" i="8" s="1"/>
  <c r="M66" i="8" s="1"/>
  <c r="L62" i="8"/>
  <c r="L65" i="8" s="1"/>
  <c r="L66" i="8" s="1"/>
  <c r="K62" i="8"/>
  <c r="K65" i="8" s="1"/>
  <c r="K66" i="8" s="1"/>
  <c r="J62" i="8"/>
  <c r="J65" i="8" s="1"/>
  <c r="J66" i="8" s="1"/>
  <c r="I62" i="8"/>
  <c r="I65" i="8" s="1"/>
  <c r="I66" i="8" s="1"/>
  <c r="H62" i="8"/>
  <c r="H65" i="8" s="1"/>
  <c r="H66" i="8" s="1"/>
  <c r="G62" i="8"/>
  <c r="G65" i="8" s="1"/>
  <c r="G66" i="8" s="1"/>
  <c r="F62" i="8"/>
  <c r="F65" i="8" s="1"/>
  <c r="F66" i="8" s="1"/>
  <c r="E62" i="8"/>
  <c r="E65" i="8" s="1"/>
  <c r="E66" i="8" s="1"/>
  <c r="D62" i="8"/>
  <c r="D65" i="8" s="1"/>
  <c r="D66" i="8" s="1"/>
  <c r="C62" i="8"/>
  <c r="C65" i="8" s="1"/>
  <c r="C66" i="8" s="1"/>
  <c r="O61" i="8"/>
  <c r="N60" i="8"/>
  <c r="M60" i="8"/>
  <c r="L60" i="8"/>
  <c r="K60" i="8"/>
  <c r="J60" i="8"/>
  <c r="I60" i="8"/>
  <c r="H60" i="8"/>
  <c r="G60" i="8"/>
  <c r="F60" i="8"/>
  <c r="E60" i="8"/>
  <c r="D60" i="8"/>
  <c r="C60" i="8"/>
  <c r="N55" i="8"/>
  <c r="N58" i="8" s="1"/>
  <c r="N59" i="8" s="1"/>
  <c r="M55" i="8"/>
  <c r="M58" i="8" s="1"/>
  <c r="M59" i="8" s="1"/>
  <c r="L55" i="8"/>
  <c r="L58" i="8" s="1"/>
  <c r="L59" i="8" s="1"/>
  <c r="K55" i="8"/>
  <c r="K58" i="8" s="1"/>
  <c r="K59" i="8" s="1"/>
  <c r="J55" i="8"/>
  <c r="J58" i="8" s="1"/>
  <c r="J59" i="8" s="1"/>
  <c r="I55" i="8"/>
  <c r="I58" i="8" s="1"/>
  <c r="I59" i="8" s="1"/>
  <c r="H55" i="8"/>
  <c r="H58" i="8" s="1"/>
  <c r="H59" i="8" s="1"/>
  <c r="G55" i="8"/>
  <c r="G58" i="8" s="1"/>
  <c r="G59" i="8" s="1"/>
  <c r="F55" i="8"/>
  <c r="F58" i="8" s="1"/>
  <c r="F59" i="8" s="1"/>
  <c r="E55" i="8"/>
  <c r="E58" i="8" s="1"/>
  <c r="E59" i="8" s="1"/>
  <c r="D55" i="8"/>
  <c r="D58" i="8" s="1"/>
  <c r="D59" i="8" s="1"/>
  <c r="C55" i="8"/>
  <c r="C58" i="8" s="1"/>
  <c r="C59" i="8" s="1"/>
  <c r="O54" i="8"/>
  <c r="N53" i="8"/>
  <c r="M53" i="8"/>
  <c r="L53" i="8"/>
  <c r="K53" i="8"/>
  <c r="J53" i="8"/>
  <c r="I53" i="8"/>
  <c r="H53" i="8"/>
  <c r="G53" i="8"/>
  <c r="F53" i="8"/>
  <c r="E53" i="8"/>
  <c r="D53" i="8"/>
  <c r="C53" i="8"/>
  <c r="N48" i="8"/>
  <c r="N51" i="8" s="1"/>
  <c r="N52" i="8" s="1"/>
  <c r="M48" i="8"/>
  <c r="M51" i="8" s="1"/>
  <c r="M52" i="8" s="1"/>
  <c r="L48" i="8"/>
  <c r="L51" i="8" s="1"/>
  <c r="L52" i="8" s="1"/>
  <c r="K48" i="8"/>
  <c r="K51" i="8" s="1"/>
  <c r="K52" i="8" s="1"/>
  <c r="J48" i="8"/>
  <c r="J51" i="8" s="1"/>
  <c r="J52" i="8" s="1"/>
  <c r="I48" i="8"/>
  <c r="I51" i="8" s="1"/>
  <c r="I52" i="8" s="1"/>
  <c r="H48" i="8"/>
  <c r="H51" i="8" s="1"/>
  <c r="H52" i="8" s="1"/>
  <c r="G48" i="8"/>
  <c r="G51" i="8" s="1"/>
  <c r="G52" i="8" s="1"/>
  <c r="F48" i="8"/>
  <c r="F51" i="8" s="1"/>
  <c r="F52" i="8" s="1"/>
  <c r="E48" i="8"/>
  <c r="E51" i="8" s="1"/>
  <c r="E52" i="8" s="1"/>
  <c r="D48" i="8"/>
  <c r="D51" i="8" s="1"/>
  <c r="D52" i="8" s="1"/>
  <c r="C48" i="8"/>
  <c r="C51" i="8" s="1"/>
  <c r="C52" i="8" s="1"/>
  <c r="O47" i="8"/>
  <c r="N46" i="8"/>
  <c r="M46" i="8"/>
  <c r="L46" i="8"/>
  <c r="K46" i="8"/>
  <c r="J46" i="8"/>
  <c r="I46" i="8"/>
  <c r="H46" i="8"/>
  <c r="G46" i="8"/>
  <c r="F46" i="8"/>
  <c r="E46" i="8"/>
  <c r="D46" i="8"/>
  <c r="C46" i="8"/>
  <c r="N41" i="8"/>
  <c r="N44" i="8" s="1"/>
  <c r="N45" i="8" s="1"/>
  <c r="M41" i="8"/>
  <c r="M44" i="8" s="1"/>
  <c r="M45" i="8" s="1"/>
  <c r="L41" i="8"/>
  <c r="L44" i="8" s="1"/>
  <c r="L45" i="8" s="1"/>
  <c r="K41" i="8"/>
  <c r="K44" i="8" s="1"/>
  <c r="K45" i="8" s="1"/>
  <c r="J41" i="8"/>
  <c r="J44" i="8" s="1"/>
  <c r="J45" i="8" s="1"/>
  <c r="I41" i="8"/>
  <c r="I44" i="8" s="1"/>
  <c r="I45" i="8" s="1"/>
  <c r="H41" i="8"/>
  <c r="H44" i="8" s="1"/>
  <c r="H45" i="8" s="1"/>
  <c r="G41" i="8"/>
  <c r="G44" i="8" s="1"/>
  <c r="G45" i="8" s="1"/>
  <c r="F41" i="8"/>
  <c r="F44" i="8" s="1"/>
  <c r="F45" i="8" s="1"/>
  <c r="E41" i="8"/>
  <c r="E44" i="8" s="1"/>
  <c r="E45" i="8" s="1"/>
  <c r="D41" i="8"/>
  <c r="D44" i="8" s="1"/>
  <c r="D45" i="8" s="1"/>
  <c r="C41" i="8"/>
  <c r="C44" i="8" s="1"/>
  <c r="C45" i="8" s="1"/>
  <c r="O40" i="8"/>
  <c r="N39" i="8"/>
  <c r="M39" i="8"/>
  <c r="L39" i="8"/>
  <c r="K39" i="8"/>
  <c r="J39" i="8"/>
  <c r="I39" i="8"/>
  <c r="H39" i="8"/>
  <c r="G39" i="8"/>
  <c r="F39" i="8"/>
  <c r="E39" i="8"/>
  <c r="D39" i="8"/>
  <c r="C39" i="8"/>
  <c r="N34" i="8"/>
  <c r="N37" i="8" s="1"/>
  <c r="N38" i="8" s="1"/>
  <c r="M34" i="8"/>
  <c r="M37" i="8" s="1"/>
  <c r="M38" i="8" s="1"/>
  <c r="L34" i="8"/>
  <c r="L37" i="8" s="1"/>
  <c r="L38" i="8" s="1"/>
  <c r="K34" i="8"/>
  <c r="K37" i="8" s="1"/>
  <c r="K38" i="8" s="1"/>
  <c r="J34" i="8"/>
  <c r="J37" i="8" s="1"/>
  <c r="J38" i="8" s="1"/>
  <c r="I34" i="8"/>
  <c r="I37" i="8" s="1"/>
  <c r="I38" i="8" s="1"/>
  <c r="H34" i="8"/>
  <c r="H37" i="8" s="1"/>
  <c r="H38" i="8" s="1"/>
  <c r="G34" i="8"/>
  <c r="G37" i="8" s="1"/>
  <c r="G38" i="8" s="1"/>
  <c r="F34" i="8"/>
  <c r="F37" i="8" s="1"/>
  <c r="F38" i="8" s="1"/>
  <c r="E34" i="8"/>
  <c r="E37" i="8" s="1"/>
  <c r="E38" i="8" s="1"/>
  <c r="D34" i="8"/>
  <c r="D37" i="8" s="1"/>
  <c r="D38" i="8" s="1"/>
  <c r="C34" i="8"/>
  <c r="C37" i="8" s="1"/>
  <c r="C38" i="8" s="1"/>
  <c r="O33" i="8"/>
  <c r="N32" i="8"/>
  <c r="M32" i="8"/>
  <c r="L32" i="8"/>
  <c r="K32" i="8"/>
  <c r="J32" i="8"/>
  <c r="I32" i="8"/>
  <c r="H32" i="8"/>
  <c r="G32" i="8"/>
  <c r="F32" i="8"/>
  <c r="E32" i="8"/>
  <c r="D32" i="8"/>
  <c r="C32" i="8"/>
  <c r="N27" i="8"/>
  <c r="N30" i="8" s="1"/>
  <c r="N31" i="8" s="1"/>
  <c r="M27" i="8"/>
  <c r="M30" i="8" s="1"/>
  <c r="M31" i="8" s="1"/>
  <c r="L27" i="8"/>
  <c r="L30" i="8" s="1"/>
  <c r="L31" i="8" s="1"/>
  <c r="K27" i="8"/>
  <c r="K30" i="8" s="1"/>
  <c r="K31" i="8" s="1"/>
  <c r="J27" i="8"/>
  <c r="J30" i="8" s="1"/>
  <c r="J31" i="8" s="1"/>
  <c r="I27" i="8"/>
  <c r="I30" i="8" s="1"/>
  <c r="I31" i="8" s="1"/>
  <c r="H27" i="8"/>
  <c r="H30" i="8" s="1"/>
  <c r="H31" i="8" s="1"/>
  <c r="G27" i="8"/>
  <c r="G30" i="8" s="1"/>
  <c r="G31" i="8" s="1"/>
  <c r="F27" i="8"/>
  <c r="F30" i="8" s="1"/>
  <c r="F31" i="8" s="1"/>
  <c r="E27" i="8"/>
  <c r="E30" i="8" s="1"/>
  <c r="E31" i="8" s="1"/>
  <c r="D27" i="8"/>
  <c r="D30" i="8" s="1"/>
  <c r="D31" i="8" s="1"/>
  <c r="C27" i="8"/>
  <c r="C30" i="8" s="1"/>
  <c r="C31" i="8" s="1"/>
  <c r="O26" i="8"/>
  <c r="N25" i="8"/>
  <c r="M25" i="8"/>
  <c r="L25" i="8"/>
  <c r="K25" i="8"/>
  <c r="J25" i="8"/>
  <c r="I25" i="8"/>
  <c r="H25" i="8"/>
  <c r="G25" i="8"/>
  <c r="F25" i="8"/>
  <c r="E25" i="8"/>
  <c r="D25" i="8"/>
  <c r="C25" i="8"/>
  <c r="N20" i="8"/>
  <c r="N23" i="8" s="1"/>
  <c r="N24" i="8" s="1"/>
  <c r="M20" i="8"/>
  <c r="M23" i="8" s="1"/>
  <c r="M24" i="8" s="1"/>
  <c r="L20" i="8"/>
  <c r="L23" i="8" s="1"/>
  <c r="L24" i="8" s="1"/>
  <c r="K20" i="8"/>
  <c r="K23" i="8" s="1"/>
  <c r="K24" i="8" s="1"/>
  <c r="J20" i="8"/>
  <c r="J23" i="8" s="1"/>
  <c r="J24" i="8" s="1"/>
  <c r="I20" i="8"/>
  <c r="I23" i="8" s="1"/>
  <c r="I24" i="8" s="1"/>
  <c r="H20" i="8"/>
  <c r="H23" i="8" s="1"/>
  <c r="H24" i="8" s="1"/>
  <c r="G20" i="8"/>
  <c r="G23" i="8" s="1"/>
  <c r="G24" i="8" s="1"/>
  <c r="F20" i="8"/>
  <c r="F23" i="8" s="1"/>
  <c r="F24" i="8" s="1"/>
  <c r="E20" i="8"/>
  <c r="E23" i="8" s="1"/>
  <c r="E24" i="8" s="1"/>
  <c r="D20" i="8"/>
  <c r="D23" i="8" s="1"/>
  <c r="D24" i="8" s="1"/>
  <c r="C20" i="8"/>
  <c r="C23" i="8" s="1"/>
  <c r="C24" i="8" s="1"/>
  <c r="O19" i="8"/>
  <c r="N18" i="8"/>
  <c r="M18" i="8"/>
  <c r="L18" i="8"/>
  <c r="K18" i="8"/>
  <c r="J18" i="8"/>
  <c r="I18" i="8"/>
  <c r="H18" i="8"/>
  <c r="G18" i="8"/>
  <c r="F18" i="8"/>
  <c r="E18" i="8"/>
  <c r="D18" i="8"/>
  <c r="C18" i="8"/>
  <c r="N13" i="8"/>
  <c r="N16" i="8" s="1"/>
  <c r="N17" i="8" s="1"/>
  <c r="M13" i="8"/>
  <c r="M16" i="8" s="1"/>
  <c r="M17" i="8" s="1"/>
  <c r="L13" i="8"/>
  <c r="L16" i="8" s="1"/>
  <c r="L17" i="8" s="1"/>
  <c r="K13" i="8"/>
  <c r="K16" i="8" s="1"/>
  <c r="K17" i="8" s="1"/>
  <c r="J13" i="8"/>
  <c r="J16" i="8" s="1"/>
  <c r="J17" i="8" s="1"/>
  <c r="I13" i="8"/>
  <c r="I16" i="8" s="1"/>
  <c r="I17" i="8" s="1"/>
  <c r="H13" i="8"/>
  <c r="H16" i="8" s="1"/>
  <c r="H17" i="8" s="1"/>
  <c r="G13" i="8"/>
  <c r="G16" i="8" s="1"/>
  <c r="G17" i="8" s="1"/>
  <c r="F13" i="8"/>
  <c r="F16" i="8" s="1"/>
  <c r="F17" i="8" s="1"/>
  <c r="E13" i="8"/>
  <c r="E16" i="8" s="1"/>
  <c r="E17" i="8" s="1"/>
  <c r="D13" i="8"/>
  <c r="D16" i="8" s="1"/>
  <c r="D17" i="8" s="1"/>
  <c r="C13" i="8"/>
  <c r="C16" i="8" s="1"/>
  <c r="C17" i="8" s="1"/>
  <c r="O12" i="8"/>
  <c r="N11" i="8"/>
  <c r="M11" i="8"/>
  <c r="L11" i="8"/>
  <c r="K11" i="8"/>
  <c r="J11" i="8"/>
  <c r="I11" i="8"/>
  <c r="H11" i="8"/>
  <c r="G11" i="8"/>
  <c r="F11" i="8"/>
  <c r="E11" i="8"/>
  <c r="D11" i="8"/>
  <c r="C11" i="8"/>
  <c r="N6" i="8"/>
  <c r="N9" i="8" s="1"/>
  <c r="N10" i="8" s="1"/>
  <c r="M6" i="8"/>
  <c r="M9" i="8" s="1"/>
  <c r="M10" i="8" s="1"/>
  <c r="L6" i="8"/>
  <c r="L9" i="8" s="1"/>
  <c r="L10" i="8" s="1"/>
  <c r="K6" i="8"/>
  <c r="K9" i="8" s="1"/>
  <c r="K10" i="8" s="1"/>
  <c r="J6" i="8"/>
  <c r="J9" i="8" s="1"/>
  <c r="J10" i="8" s="1"/>
  <c r="I6" i="8"/>
  <c r="I9" i="8" s="1"/>
  <c r="I10" i="8" s="1"/>
  <c r="H6" i="8"/>
  <c r="H9" i="8" s="1"/>
  <c r="H10" i="8" s="1"/>
  <c r="G6" i="8"/>
  <c r="G9" i="8" s="1"/>
  <c r="G10" i="8" s="1"/>
  <c r="F6" i="8"/>
  <c r="F9" i="8" s="1"/>
  <c r="F10" i="8" s="1"/>
  <c r="E6" i="8"/>
  <c r="E9" i="8" s="1"/>
  <c r="E10" i="8" s="1"/>
  <c r="D6" i="8"/>
  <c r="D9" i="8" s="1"/>
  <c r="D10" i="8" s="1"/>
  <c r="C6" i="8"/>
  <c r="C9" i="8" s="1"/>
  <c r="C10" i="8" s="1"/>
  <c r="O5" i="8"/>
  <c r="N4" i="8"/>
  <c r="M4" i="8"/>
  <c r="L4" i="8"/>
  <c r="K4" i="8"/>
  <c r="J4" i="8"/>
  <c r="I4" i="8"/>
  <c r="H4" i="8"/>
  <c r="G4" i="8"/>
  <c r="F4" i="8"/>
  <c r="E4" i="8"/>
  <c r="D4" i="8"/>
  <c r="C4" i="8"/>
  <c r="N6" i="7"/>
  <c r="N9" i="7" s="1"/>
  <c r="N10" i="7" s="1"/>
  <c r="M6" i="7"/>
  <c r="M9" i="7" s="1"/>
  <c r="M10" i="7" s="1"/>
  <c r="L6" i="7"/>
  <c r="L9" i="7" s="1"/>
  <c r="L10" i="7" s="1"/>
  <c r="K6" i="7"/>
  <c r="K9" i="7" s="1"/>
  <c r="K10" i="7" s="1"/>
  <c r="J6" i="7"/>
  <c r="J9" i="7" s="1"/>
  <c r="J10" i="7" s="1"/>
  <c r="I6" i="7"/>
  <c r="I9" i="7" s="1"/>
  <c r="I10" i="7" s="1"/>
  <c r="H6" i="7"/>
  <c r="H9" i="7" s="1"/>
  <c r="H10" i="7" s="1"/>
  <c r="G6" i="7"/>
  <c r="G9" i="7" s="1"/>
  <c r="G10" i="7" s="1"/>
  <c r="F6" i="7"/>
  <c r="F9" i="7" s="1"/>
  <c r="F10" i="7" s="1"/>
  <c r="E6" i="7"/>
  <c r="E9" i="7" s="1"/>
  <c r="E10" i="7" s="1"/>
  <c r="D6" i="7"/>
  <c r="D9" i="7" s="1"/>
  <c r="D10" i="7" s="1"/>
  <c r="C6" i="7"/>
  <c r="C9" i="7" s="1"/>
  <c r="C10" i="7" s="1"/>
  <c r="O5" i="7"/>
  <c r="N4" i="7"/>
  <c r="M4" i="7"/>
  <c r="L4" i="7"/>
  <c r="K4" i="7"/>
  <c r="J4" i="7"/>
  <c r="I4" i="7"/>
  <c r="H4" i="7"/>
  <c r="G4" i="7"/>
  <c r="F4" i="7"/>
  <c r="E4" i="7"/>
  <c r="N111" i="6"/>
  <c r="M111" i="6"/>
  <c r="L111" i="6"/>
  <c r="K111" i="6"/>
  <c r="K114" i="6" s="1"/>
  <c r="K115" i="6" s="1"/>
  <c r="J111" i="6"/>
  <c r="J114" i="6" s="1"/>
  <c r="J115" i="6" s="1"/>
  <c r="I111" i="6"/>
  <c r="H111" i="6"/>
  <c r="G111" i="6"/>
  <c r="F111" i="6"/>
  <c r="F114" i="6" s="1"/>
  <c r="F115" i="6" s="1"/>
  <c r="E111" i="6"/>
  <c r="E114" i="6" s="1"/>
  <c r="E115" i="6" s="1"/>
  <c r="D111" i="6"/>
  <c r="D114" i="6" s="1"/>
  <c r="D115" i="6" s="1"/>
  <c r="C111" i="6"/>
  <c r="C114" i="6" s="1"/>
  <c r="C115" i="6" s="1"/>
  <c r="O110" i="6"/>
  <c r="N109" i="6"/>
  <c r="M109" i="6"/>
  <c r="L109" i="6"/>
  <c r="K109" i="6"/>
  <c r="J109" i="6"/>
  <c r="I109" i="6"/>
  <c r="H109" i="6"/>
  <c r="G109" i="6"/>
  <c r="F109" i="6"/>
  <c r="E109" i="6"/>
  <c r="D109" i="6"/>
  <c r="C109" i="6"/>
  <c r="C117" i="6" s="1"/>
  <c r="N76" i="6"/>
  <c r="N79" i="6" s="1"/>
  <c r="N80" i="6" s="1"/>
  <c r="M76" i="6"/>
  <c r="M79" i="6" s="1"/>
  <c r="M80" i="6" s="1"/>
  <c r="L76" i="6"/>
  <c r="L79" i="6" s="1"/>
  <c r="L80" i="6" s="1"/>
  <c r="K76" i="6"/>
  <c r="K79" i="6" s="1"/>
  <c r="K80" i="6" s="1"/>
  <c r="J76" i="6"/>
  <c r="J79" i="6" s="1"/>
  <c r="J80" i="6" s="1"/>
  <c r="I76" i="6"/>
  <c r="I79" i="6" s="1"/>
  <c r="I80" i="6" s="1"/>
  <c r="H76" i="6"/>
  <c r="H79" i="6" s="1"/>
  <c r="H80" i="6" s="1"/>
  <c r="G76" i="6"/>
  <c r="G79" i="6" s="1"/>
  <c r="G80" i="6" s="1"/>
  <c r="F76" i="6"/>
  <c r="F79" i="6" s="1"/>
  <c r="F80" i="6" s="1"/>
  <c r="E76" i="6"/>
  <c r="E79" i="6" s="1"/>
  <c r="E80" i="6" s="1"/>
  <c r="D76" i="6"/>
  <c r="D79" i="6" s="1"/>
  <c r="D80" i="6" s="1"/>
  <c r="C76" i="6"/>
  <c r="C79" i="6" s="1"/>
  <c r="C80" i="6" s="1"/>
  <c r="O75" i="6"/>
  <c r="N74" i="6"/>
  <c r="M74" i="6"/>
  <c r="L74" i="6"/>
  <c r="K74" i="6"/>
  <c r="J74" i="6"/>
  <c r="I74" i="6"/>
  <c r="H74" i="6"/>
  <c r="G74" i="6"/>
  <c r="F74" i="6"/>
  <c r="E74" i="6"/>
  <c r="D74" i="6"/>
  <c r="C74" i="6"/>
  <c r="N69" i="6"/>
  <c r="N72" i="6" s="1"/>
  <c r="N73" i="6" s="1"/>
  <c r="M69" i="6"/>
  <c r="M72" i="6" s="1"/>
  <c r="M73" i="6" s="1"/>
  <c r="L69" i="6"/>
  <c r="L72" i="6" s="1"/>
  <c r="L73" i="6" s="1"/>
  <c r="K69" i="6"/>
  <c r="K72" i="6" s="1"/>
  <c r="K73" i="6" s="1"/>
  <c r="J69" i="6"/>
  <c r="J72" i="6" s="1"/>
  <c r="J73" i="6" s="1"/>
  <c r="I69" i="6"/>
  <c r="I72" i="6" s="1"/>
  <c r="I73" i="6" s="1"/>
  <c r="H69" i="6"/>
  <c r="H72" i="6" s="1"/>
  <c r="H73" i="6" s="1"/>
  <c r="G69" i="6"/>
  <c r="G72" i="6" s="1"/>
  <c r="G73" i="6" s="1"/>
  <c r="F69" i="6"/>
  <c r="F72" i="6" s="1"/>
  <c r="F73" i="6" s="1"/>
  <c r="E69" i="6"/>
  <c r="E72" i="6" s="1"/>
  <c r="E73" i="6" s="1"/>
  <c r="D69" i="6"/>
  <c r="D72" i="6" s="1"/>
  <c r="D73" i="6" s="1"/>
  <c r="C69" i="6"/>
  <c r="C72" i="6" s="1"/>
  <c r="C73" i="6" s="1"/>
  <c r="O68" i="6"/>
  <c r="N67" i="6"/>
  <c r="M67" i="6"/>
  <c r="L67" i="6"/>
  <c r="K67" i="6"/>
  <c r="J67" i="6"/>
  <c r="I67" i="6"/>
  <c r="H67" i="6"/>
  <c r="G67" i="6"/>
  <c r="F67" i="6"/>
  <c r="E67" i="6"/>
  <c r="D67" i="6"/>
  <c r="C67" i="6"/>
  <c r="N62" i="6"/>
  <c r="N65" i="6" s="1"/>
  <c r="N66" i="6" s="1"/>
  <c r="M62" i="6"/>
  <c r="M65" i="6" s="1"/>
  <c r="M66" i="6" s="1"/>
  <c r="L62" i="6"/>
  <c r="L65" i="6" s="1"/>
  <c r="L66" i="6" s="1"/>
  <c r="K62" i="6"/>
  <c r="K65" i="6" s="1"/>
  <c r="K66" i="6" s="1"/>
  <c r="J62" i="6"/>
  <c r="J65" i="6" s="1"/>
  <c r="J66" i="6" s="1"/>
  <c r="I62" i="6"/>
  <c r="I65" i="6" s="1"/>
  <c r="I66" i="6" s="1"/>
  <c r="H62" i="6"/>
  <c r="H65" i="6" s="1"/>
  <c r="H66" i="6" s="1"/>
  <c r="G62" i="6"/>
  <c r="G65" i="6" s="1"/>
  <c r="G66" i="6" s="1"/>
  <c r="F62" i="6"/>
  <c r="F65" i="6" s="1"/>
  <c r="F66" i="6" s="1"/>
  <c r="E62" i="6"/>
  <c r="E65" i="6" s="1"/>
  <c r="E66" i="6" s="1"/>
  <c r="D62" i="6"/>
  <c r="D65" i="6" s="1"/>
  <c r="D66" i="6" s="1"/>
  <c r="C62" i="6"/>
  <c r="C65" i="6" s="1"/>
  <c r="C66" i="6" s="1"/>
  <c r="O61" i="6"/>
  <c r="N60" i="6"/>
  <c r="M60" i="6"/>
  <c r="L60" i="6"/>
  <c r="K60" i="6"/>
  <c r="J60" i="6"/>
  <c r="I60" i="6"/>
  <c r="H60" i="6"/>
  <c r="G60" i="6"/>
  <c r="F60" i="6"/>
  <c r="E60" i="6"/>
  <c r="D60" i="6"/>
  <c r="C60" i="6"/>
  <c r="N55" i="6"/>
  <c r="N58" i="6" s="1"/>
  <c r="N59" i="6" s="1"/>
  <c r="M55" i="6"/>
  <c r="M58" i="6" s="1"/>
  <c r="M59" i="6" s="1"/>
  <c r="L55" i="6"/>
  <c r="L58" i="6" s="1"/>
  <c r="L59" i="6" s="1"/>
  <c r="K55" i="6"/>
  <c r="K58" i="6" s="1"/>
  <c r="K59" i="6" s="1"/>
  <c r="J55" i="6"/>
  <c r="J58" i="6" s="1"/>
  <c r="J59" i="6" s="1"/>
  <c r="I55" i="6"/>
  <c r="I58" i="6" s="1"/>
  <c r="I59" i="6" s="1"/>
  <c r="H55" i="6"/>
  <c r="H58" i="6" s="1"/>
  <c r="H59" i="6" s="1"/>
  <c r="G55" i="6"/>
  <c r="G58" i="6" s="1"/>
  <c r="G59" i="6" s="1"/>
  <c r="F55" i="6"/>
  <c r="F58" i="6" s="1"/>
  <c r="F59" i="6" s="1"/>
  <c r="E55" i="6"/>
  <c r="E58" i="6" s="1"/>
  <c r="E59" i="6" s="1"/>
  <c r="D55" i="6"/>
  <c r="D58" i="6" s="1"/>
  <c r="D59" i="6" s="1"/>
  <c r="C55" i="6"/>
  <c r="C58" i="6" s="1"/>
  <c r="C59" i="6" s="1"/>
  <c r="O54" i="6"/>
  <c r="N53" i="6"/>
  <c r="M53" i="6"/>
  <c r="L53" i="6"/>
  <c r="K53" i="6"/>
  <c r="J53" i="6"/>
  <c r="I53" i="6"/>
  <c r="H53" i="6"/>
  <c r="G53" i="6"/>
  <c r="F53" i="6"/>
  <c r="E53" i="6"/>
  <c r="D53" i="6"/>
  <c r="C53" i="6"/>
  <c r="N48" i="6"/>
  <c r="N51" i="6" s="1"/>
  <c r="N52" i="6" s="1"/>
  <c r="M48" i="6"/>
  <c r="M51" i="6" s="1"/>
  <c r="M52" i="6" s="1"/>
  <c r="L48" i="6"/>
  <c r="L51" i="6" s="1"/>
  <c r="L52" i="6" s="1"/>
  <c r="K48" i="6"/>
  <c r="K51" i="6" s="1"/>
  <c r="K52" i="6" s="1"/>
  <c r="J48" i="6"/>
  <c r="J51" i="6" s="1"/>
  <c r="J52" i="6" s="1"/>
  <c r="I48" i="6"/>
  <c r="I51" i="6" s="1"/>
  <c r="I52" i="6" s="1"/>
  <c r="H48" i="6"/>
  <c r="H51" i="6" s="1"/>
  <c r="H52" i="6" s="1"/>
  <c r="G48" i="6"/>
  <c r="G51" i="6" s="1"/>
  <c r="G52" i="6" s="1"/>
  <c r="F48" i="6"/>
  <c r="F51" i="6" s="1"/>
  <c r="F52" i="6" s="1"/>
  <c r="E48" i="6"/>
  <c r="E51" i="6" s="1"/>
  <c r="E52" i="6" s="1"/>
  <c r="D48" i="6"/>
  <c r="D51" i="6" s="1"/>
  <c r="D52" i="6" s="1"/>
  <c r="C48" i="6"/>
  <c r="C51" i="6" s="1"/>
  <c r="C52" i="6" s="1"/>
  <c r="O47" i="6"/>
  <c r="N46" i="6"/>
  <c r="M46" i="6"/>
  <c r="L46" i="6"/>
  <c r="K46" i="6"/>
  <c r="J46" i="6"/>
  <c r="I46" i="6"/>
  <c r="H46" i="6"/>
  <c r="G46" i="6"/>
  <c r="F46" i="6"/>
  <c r="E46" i="6"/>
  <c r="D46" i="6"/>
  <c r="C46" i="6"/>
  <c r="N41" i="6"/>
  <c r="N44" i="6" s="1"/>
  <c r="N45" i="6" s="1"/>
  <c r="M41" i="6"/>
  <c r="M44" i="6" s="1"/>
  <c r="M45" i="6" s="1"/>
  <c r="L41" i="6"/>
  <c r="L44" i="6" s="1"/>
  <c r="L45" i="6" s="1"/>
  <c r="K41" i="6"/>
  <c r="K44" i="6" s="1"/>
  <c r="K45" i="6" s="1"/>
  <c r="J41" i="6"/>
  <c r="J44" i="6" s="1"/>
  <c r="J45" i="6" s="1"/>
  <c r="I41" i="6"/>
  <c r="I44" i="6" s="1"/>
  <c r="I45" i="6" s="1"/>
  <c r="H41" i="6"/>
  <c r="H44" i="6" s="1"/>
  <c r="H45" i="6" s="1"/>
  <c r="G41" i="6"/>
  <c r="G44" i="6" s="1"/>
  <c r="G45" i="6" s="1"/>
  <c r="F41" i="6"/>
  <c r="F44" i="6" s="1"/>
  <c r="F45" i="6" s="1"/>
  <c r="E41" i="6"/>
  <c r="E44" i="6" s="1"/>
  <c r="E45" i="6" s="1"/>
  <c r="D41" i="6"/>
  <c r="D44" i="6" s="1"/>
  <c r="D45" i="6" s="1"/>
  <c r="C41" i="6"/>
  <c r="C44" i="6" s="1"/>
  <c r="C45" i="6" s="1"/>
  <c r="O40" i="6"/>
  <c r="N39" i="6"/>
  <c r="M39" i="6"/>
  <c r="L39" i="6"/>
  <c r="K39" i="6"/>
  <c r="J39" i="6"/>
  <c r="I39" i="6"/>
  <c r="H39" i="6"/>
  <c r="G39" i="6"/>
  <c r="F39" i="6"/>
  <c r="E39" i="6"/>
  <c r="D39" i="6"/>
  <c r="C39" i="6"/>
  <c r="N34" i="6"/>
  <c r="N37" i="6" s="1"/>
  <c r="N38" i="6" s="1"/>
  <c r="M34" i="6"/>
  <c r="M37" i="6" s="1"/>
  <c r="M38" i="6" s="1"/>
  <c r="L34" i="6"/>
  <c r="L37" i="6" s="1"/>
  <c r="L38" i="6" s="1"/>
  <c r="K34" i="6"/>
  <c r="K37" i="6" s="1"/>
  <c r="K38" i="6" s="1"/>
  <c r="J34" i="6"/>
  <c r="J37" i="6" s="1"/>
  <c r="J38" i="6" s="1"/>
  <c r="I34" i="6"/>
  <c r="I37" i="6" s="1"/>
  <c r="I38" i="6" s="1"/>
  <c r="H34" i="6"/>
  <c r="H37" i="6" s="1"/>
  <c r="H38" i="6" s="1"/>
  <c r="G34" i="6"/>
  <c r="G37" i="6" s="1"/>
  <c r="G38" i="6" s="1"/>
  <c r="F34" i="6"/>
  <c r="F37" i="6" s="1"/>
  <c r="F38" i="6" s="1"/>
  <c r="E34" i="6"/>
  <c r="E37" i="6" s="1"/>
  <c r="E38" i="6" s="1"/>
  <c r="D34" i="6"/>
  <c r="D37" i="6" s="1"/>
  <c r="D38" i="6" s="1"/>
  <c r="C34" i="6"/>
  <c r="C37" i="6" s="1"/>
  <c r="C38" i="6" s="1"/>
  <c r="O33" i="6"/>
  <c r="N32" i="6"/>
  <c r="M32" i="6"/>
  <c r="L32" i="6"/>
  <c r="K32" i="6"/>
  <c r="J32" i="6"/>
  <c r="I32" i="6"/>
  <c r="H32" i="6"/>
  <c r="G32" i="6"/>
  <c r="F32" i="6"/>
  <c r="E32" i="6"/>
  <c r="D32" i="6"/>
  <c r="C32" i="6"/>
  <c r="N27" i="6"/>
  <c r="N30" i="6" s="1"/>
  <c r="N31" i="6" s="1"/>
  <c r="M27" i="6"/>
  <c r="M30" i="6" s="1"/>
  <c r="M31" i="6" s="1"/>
  <c r="L27" i="6"/>
  <c r="L30" i="6" s="1"/>
  <c r="L31" i="6" s="1"/>
  <c r="K27" i="6"/>
  <c r="K30" i="6" s="1"/>
  <c r="K31" i="6" s="1"/>
  <c r="J27" i="6"/>
  <c r="J30" i="6" s="1"/>
  <c r="J31" i="6" s="1"/>
  <c r="I27" i="6"/>
  <c r="I30" i="6" s="1"/>
  <c r="I31" i="6" s="1"/>
  <c r="H27" i="6"/>
  <c r="H30" i="6" s="1"/>
  <c r="H31" i="6" s="1"/>
  <c r="G27" i="6"/>
  <c r="G30" i="6" s="1"/>
  <c r="G31" i="6" s="1"/>
  <c r="F27" i="6"/>
  <c r="F30" i="6" s="1"/>
  <c r="F31" i="6" s="1"/>
  <c r="E27" i="6"/>
  <c r="E30" i="6" s="1"/>
  <c r="E31" i="6" s="1"/>
  <c r="D27" i="6"/>
  <c r="D30" i="6" s="1"/>
  <c r="D31" i="6" s="1"/>
  <c r="C27" i="6"/>
  <c r="C30" i="6" s="1"/>
  <c r="C31" i="6" s="1"/>
  <c r="O26" i="6"/>
  <c r="N25" i="6"/>
  <c r="M25" i="6"/>
  <c r="L25" i="6"/>
  <c r="K25" i="6"/>
  <c r="J25" i="6"/>
  <c r="I25" i="6"/>
  <c r="H25" i="6"/>
  <c r="G25" i="6"/>
  <c r="F25" i="6"/>
  <c r="E25" i="6"/>
  <c r="D25" i="6"/>
  <c r="C25" i="6"/>
  <c r="N20" i="6"/>
  <c r="N23" i="6" s="1"/>
  <c r="N24" i="6" s="1"/>
  <c r="M20" i="6"/>
  <c r="M23" i="6" s="1"/>
  <c r="M24" i="6" s="1"/>
  <c r="L20" i="6"/>
  <c r="L23" i="6" s="1"/>
  <c r="L24" i="6" s="1"/>
  <c r="K20" i="6"/>
  <c r="K23" i="6" s="1"/>
  <c r="K24" i="6" s="1"/>
  <c r="J20" i="6"/>
  <c r="J23" i="6" s="1"/>
  <c r="J24" i="6" s="1"/>
  <c r="I20" i="6"/>
  <c r="I23" i="6" s="1"/>
  <c r="I24" i="6" s="1"/>
  <c r="H20" i="6"/>
  <c r="H23" i="6" s="1"/>
  <c r="H24" i="6" s="1"/>
  <c r="G20" i="6"/>
  <c r="G23" i="6" s="1"/>
  <c r="G24" i="6" s="1"/>
  <c r="F20" i="6"/>
  <c r="F23" i="6" s="1"/>
  <c r="F24" i="6" s="1"/>
  <c r="E20" i="6"/>
  <c r="E23" i="6" s="1"/>
  <c r="E24" i="6" s="1"/>
  <c r="D20" i="6"/>
  <c r="D23" i="6" s="1"/>
  <c r="D24" i="6" s="1"/>
  <c r="C20" i="6"/>
  <c r="C23" i="6" s="1"/>
  <c r="C24" i="6" s="1"/>
  <c r="O19" i="6"/>
  <c r="N18" i="6"/>
  <c r="M18" i="6"/>
  <c r="L18" i="6"/>
  <c r="K18" i="6"/>
  <c r="J18" i="6"/>
  <c r="I18" i="6"/>
  <c r="H18" i="6"/>
  <c r="G18" i="6"/>
  <c r="F18" i="6"/>
  <c r="E18" i="6"/>
  <c r="D18" i="6"/>
  <c r="C18" i="6"/>
  <c r="N13" i="6"/>
  <c r="N16" i="6" s="1"/>
  <c r="N17" i="6" s="1"/>
  <c r="M13" i="6"/>
  <c r="M16" i="6" s="1"/>
  <c r="M17" i="6" s="1"/>
  <c r="L13" i="6"/>
  <c r="L16" i="6" s="1"/>
  <c r="L17" i="6" s="1"/>
  <c r="K13" i="6"/>
  <c r="K16" i="6" s="1"/>
  <c r="K17" i="6" s="1"/>
  <c r="J13" i="6"/>
  <c r="J16" i="6" s="1"/>
  <c r="J17" i="6" s="1"/>
  <c r="I13" i="6"/>
  <c r="I16" i="6" s="1"/>
  <c r="I17" i="6" s="1"/>
  <c r="H13" i="6"/>
  <c r="H16" i="6" s="1"/>
  <c r="H17" i="6" s="1"/>
  <c r="G13" i="6"/>
  <c r="G16" i="6" s="1"/>
  <c r="G17" i="6" s="1"/>
  <c r="F13" i="6"/>
  <c r="F16" i="6" s="1"/>
  <c r="F17" i="6" s="1"/>
  <c r="E13" i="6"/>
  <c r="E16" i="6" s="1"/>
  <c r="E17" i="6" s="1"/>
  <c r="D13" i="6"/>
  <c r="D16" i="6" s="1"/>
  <c r="D17" i="6" s="1"/>
  <c r="C13" i="6"/>
  <c r="C16" i="6" s="1"/>
  <c r="C17" i="6" s="1"/>
  <c r="O12" i="6"/>
  <c r="N11" i="6"/>
  <c r="M11" i="4" s="1"/>
  <c r="M11" i="6"/>
  <c r="L11" i="4" s="1"/>
  <c r="L11" i="6"/>
  <c r="K11" i="4" s="1"/>
  <c r="K11" i="6"/>
  <c r="J11" i="4" s="1"/>
  <c r="J11" i="6"/>
  <c r="I11" i="4" s="1"/>
  <c r="I11" i="6"/>
  <c r="H11" i="4" s="1"/>
  <c r="H11" i="6"/>
  <c r="G11" i="4" s="1"/>
  <c r="G11" i="6"/>
  <c r="F11" i="4" s="1"/>
  <c r="F11" i="6"/>
  <c r="E11" i="4" s="1"/>
  <c r="E11" i="6"/>
  <c r="D11" i="4" s="1"/>
  <c r="D11" i="6"/>
  <c r="C11" i="4" s="1"/>
  <c r="C11" i="6"/>
  <c r="B11" i="4" s="1"/>
  <c r="N6" i="6"/>
  <c r="N9" i="6" s="1"/>
  <c r="N10" i="6" s="1"/>
  <c r="M6" i="6"/>
  <c r="M9" i="6" s="1"/>
  <c r="M10" i="6" s="1"/>
  <c r="L6" i="6"/>
  <c r="L9" i="6" s="1"/>
  <c r="L10" i="6" s="1"/>
  <c r="K6" i="6"/>
  <c r="K9" i="6" s="1"/>
  <c r="K10" i="6" s="1"/>
  <c r="J6" i="6"/>
  <c r="J9" i="6" s="1"/>
  <c r="J10" i="6" s="1"/>
  <c r="I6" i="6"/>
  <c r="I9" i="6" s="1"/>
  <c r="I10" i="6" s="1"/>
  <c r="H6" i="6"/>
  <c r="H9" i="6" s="1"/>
  <c r="H10" i="6" s="1"/>
  <c r="G6" i="6"/>
  <c r="G9" i="6" s="1"/>
  <c r="G10" i="6" s="1"/>
  <c r="F6" i="6"/>
  <c r="F9" i="6" s="1"/>
  <c r="F10" i="6" s="1"/>
  <c r="E6" i="6"/>
  <c r="E9" i="6" s="1"/>
  <c r="E10" i="6" s="1"/>
  <c r="D6" i="6"/>
  <c r="D9" i="6" s="1"/>
  <c r="D10" i="6" s="1"/>
  <c r="C6" i="6"/>
  <c r="C9" i="6" s="1"/>
  <c r="C10" i="6" s="1"/>
  <c r="O5" i="6"/>
  <c r="N4" i="6"/>
  <c r="M4" i="6"/>
  <c r="L4" i="6"/>
  <c r="K4" i="6"/>
  <c r="J4" i="6"/>
  <c r="I4" i="6"/>
  <c r="H4" i="6"/>
  <c r="G4" i="6"/>
  <c r="F4" i="6"/>
  <c r="E4" i="6"/>
  <c r="D4" i="6"/>
  <c r="C4" i="6"/>
  <c r="N20" i="5"/>
  <c r="N23" i="5" s="1"/>
  <c r="N24" i="5" s="1"/>
  <c r="M20" i="5"/>
  <c r="M23" i="5" s="1"/>
  <c r="M24" i="5" s="1"/>
  <c r="L20" i="5"/>
  <c r="L23" i="5" s="1"/>
  <c r="L24" i="5" s="1"/>
  <c r="K20" i="5"/>
  <c r="K23" i="5" s="1"/>
  <c r="K24" i="5" s="1"/>
  <c r="J20" i="5"/>
  <c r="J23" i="5" s="1"/>
  <c r="J24" i="5" s="1"/>
  <c r="I20" i="5"/>
  <c r="I23" i="5" s="1"/>
  <c r="I24" i="5" s="1"/>
  <c r="H20" i="5"/>
  <c r="H23" i="5" s="1"/>
  <c r="H24" i="5" s="1"/>
  <c r="G20" i="5"/>
  <c r="G23" i="5" s="1"/>
  <c r="G24" i="5" s="1"/>
  <c r="F20" i="5"/>
  <c r="F23" i="5" s="1"/>
  <c r="F24" i="5" s="1"/>
  <c r="E20" i="5"/>
  <c r="E23" i="5" s="1"/>
  <c r="E24" i="5" s="1"/>
  <c r="D20" i="5"/>
  <c r="D23" i="5" s="1"/>
  <c r="D24" i="5" s="1"/>
  <c r="C20" i="5"/>
  <c r="C23" i="5" s="1"/>
  <c r="C24" i="5" s="1"/>
  <c r="O19" i="5"/>
  <c r="N18" i="5"/>
  <c r="M18" i="5"/>
  <c r="L18" i="5"/>
  <c r="K18" i="5"/>
  <c r="J18" i="5"/>
  <c r="I18" i="5"/>
  <c r="H18" i="5"/>
  <c r="G18" i="5"/>
  <c r="F18" i="5"/>
  <c r="E18" i="5"/>
  <c r="D18" i="5"/>
  <c r="C21" i="5"/>
  <c r="C22" i="5" s="1"/>
  <c r="N13" i="5"/>
  <c r="N16" i="5" s="1"/>
  <c r="N17" i="5" s="1"/>
  <c r="M13" i="5"/>
  <c r="M16" i="5" s="1"/>
  <c r="M17" i="5" s="1"/>
  <c r="L13" i="5"/>
  <c r="L16" i="5" s="1"/>
  <c r="L17" i="5" s="1"/>
  <c r="K13" i="5"/>
  <c r="K16" i="5" s="1"/>
  <c r="K17" i="5" s="1"/>
  <c r="J13" i="5"/>
  <c r="J16" i="5" s="1"/>
  <c r="J17" i="5" s="1"/>
  <c r="I13" i="5"/>
  <c r="I16" i="5" s="1"/>
  <c r="I17" i="5" s="1"/>
  <c r="H13" i="5"/>
  <c r="H16" i="5" s="1"/>
  <c r="H17" i="5" s="1"/>
  <c r="G13" i="5"/>
  <c r="G16" i="5" s="1"/>
  <c r="G17" i="5" s="1"/>
  <c r="F13" i="5"/>
  <c r="F16" i="5" s="1"/>
  <c r="F17" i="5" s="1"/>
  <c r="E13" i="5"/>
  <c r="E16" i="5" s="1"/>
  <c r="E17" i="5" s="1"/>
  <c r="D13" i="5"/>
  <c r="D16" i="5" s="1"/>
  <c r="D17" i="5" s="1"/>
  <c r="C13" i="5"/>
  <c r="C16" i="5" s="1"/>
  <c r="C17" i="5" s="1"/>
  <c r="O12" i="5"/>
  <c r="N11" i="5"/>
  <c r="M11" i="5"/>
  <c r="L11" i="5"/>
  <c r="K11" i="5"/>
  <c r="J11" i="5"/>
  <c r="I11" i="5"/>
  <c r="H11" i="5"/>
  <c r="G11" i="5"/>
  <c r="F11" i="5"/>
  <c r="E11" i="5"/>
  <c r="D11" i="5"/>
  <c r="C14" i="5"/>
  <c r="C15" i="5" s="1"/>
  <c r="N6" i="5"/>
  <c r="M6" i="5"/>
  <c r="M9" i="5" s="1"/>
  <c r="M10" i="5" s="1"/>
  <c r="L6" i="5"/>
  <c r="L9" i="5" s="1"/>
  <c r="L10" i="5" s="1"/>
  <c r="K6" i="5"/>
  <c r="K9" i="5" s="1"/>
  <c r="K10" i="5" s="1"/>
  <c r="J6" i="5"/>
  <c r="I6" i="5"/>
  <c r="H6" i="5"/>
  <c r="G6" i="5"/>
  <c r="F6" i="5"/>
  <c r="F9" i="5" s="1"/>
  <c r="F10" i="5" s="1"/>
  <c r="E6" i="5"/>
  <c r="E9" i="5" s="1"/>
  <c r="E10" i="5" s="1"/>
  <c r="D6" i="5"/>
  <c r="C6" i="5"/>
  <c r="C9" i="5" s="1"/>
  <c r="O5" i="5"/>
  <c r="N4" i="5"/>
  <c r="M4" i="5"/>
  <c r="L4" i="5"/>
  <c r="K4" i="5"/>
  <c r="J4" i="5"/>
  <c r="I4" i="5"/>
  <c r="H4" i="5"/>
  <c r="G4" i="5"/>
  <c r="F4" i="5"/>
  <c r="E4" i="5"/>
  <c r="D4" i="5"/>
  <c r="P112" i="2"/>
  <c r="P111" i="2"/>
  <c r="P110" i="2"/>
  <c r="P109" i="2"/>
  <c r="P108" i="2"/>
  <c r="P107" i="2"/>
  <c r="P106" i="2"/>
  <c r="P105" i="2"/>
  <c r="P103" i="2"/>
  <c r="P100" i="2"/>
  <c r="P98"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6" i="2"/>
  <c r="P45" i="2"/>
  <c r="P12" i="2"/>
  <c r="P11" i="2"/>
  <c r="P35" i="2"/>
  <c r="P34" i="2"/>
  <c r="P33" i="2"/>
  <c r="P32" i="2"/>
  <c r="P31" i="2"/>
  <c r="P30" i="2"/>
  <c r="P29" i="2"/>
  <c r="P28" i="2"/>
  <c r="P27" i="2"/>
  <c r="P26" i="2"/>
  <c r="P25" i="2"/>
  <c r="P24" i="2"/>
  <c r="P23" i="2"/>
  <c r="P22" i="2"/>
  <c r="P21" i="2"/>
  <c r="P20" i="2"/>
  <c r="P19" i="2"/>
  <c r="P18" i="2"/>
  <c r="P17" i="2"/>
  <c r="P16" i="2"/>
  <c r="P14" i="2"/>
  <c r="P10" i="2"/>
  <c r="P9" i="2"/>
  <c r="P8" i="2"/>
  <c r="P7" i="2"/>
  <c r="P6" i="2"/>
  <c r="P5" i="2"/>
  <c r="W43" i="10" l="1"/>
  <c r="V43" i="10"/>
  <c r="F47" i="10"/>
  <c r="AM44" i="10"/>
  <c r="AM43" i="10" s="1"/>
  <c r="BF44" i="10"/>
  <c r="BF43" i="10" s="1"/>
  <c r="K43" i="10"/>
  <c r="AJ44" i="10"/>
  <c r="E117" i="6"/>
  <c r="D117" i="6"/>
  <c r="K117" i="6"/>
  <c r="J117" i="6"/>
  <c r="F117" i="6"/>
  <c r="G114" i="6"/>
  <c r="G115" i="6" s="1"/>
  <c r="G117" i="6"/>
  <c r="H114" i="6"/>
  <c r="H115" i="6" s="1"/>
  <c r="H117" i="6"/>
  <c r="I114" i="6"/>
  <c r="I115" i="6" s="1"/>
  <c r="I117" i="6"/>
  <c r="L114" i="6"/>
  <c r="L115" i="6" s="1"/>
  <c r="L117" i="6"/>
  <c r="M114" i="6"/>
  <c r="M115" i="6" s="1"/>
  <c r="M117" i="6"/>
  <c r="N114" i="6"/>
  <c r="N115" i="6" s="1"/>
  <c r="N117" i="6"/>
  <c r="C4" i="4"/>
  <c r="C3" i="4"/>
  <c r="D4" i="4"/>
  <c r="D3" i="4"/>
  <c r="E4" i="4"/>
  <c r="E3" i="4"/>
  <c r="F4" i="4"/>
  <c r="F3" i="4"/>
  <c r="G4" i="4"/>
  <c r="G3" i="4"/>
  <c r="H4" i="4"/>
  <c r="H3" i="4"/>
  <c r="I4" i="4"/>
  <c r="I3" i="4"/>
  <c r="J4" i="4"/>
  <c r="J3" i="4"/>
  <c r="K4" i="4"/>
  <c r="K3" i="4"/>
  <c r="L4" i="4"/>
  <c r="L3" i="4"/>
  <c r="M4" i="4"/>
  <c r="M3" i="4"/>
  <c r="D14" i="5"/>
  <c r="D15" i="5" s="1"/>
  <c r="C5" i="4"/>
  <c r="E14" i="5"/>
  <c r="E15" i="5" s="1"/>
  <c r="D5" i="4"/>
  <c r="F14" i="5"/>
  <c r="F15" i="5" s="1"/>
  <c r="E5" i="4"/>
  <c r="G14" i="5"/>
  <c r="G15" i="5" s="1"/>
  <c r="F5" i="4"/>
  <c r="H14" i="5"/>
  <c r="H15" i="5" s="1"/>
  <c r="G5" i="4"/>
  <c r="I14" i="5"/>
  <c r="I15" i="5" s="1"/>
  <c r="H5" i="4"/>
  <c r="J14" i="5"/>
  <c r="J15" i="5" s="1"/>
  <c r="I5" i="4"/>
  <c r="K14" i="5"/>
  <c r="K15" i="5" s="1"/>
  <c r="J5" i="4"/>
  <c r="L14" i="5"/>
  <c r="L15" i="5" s="1"/>
  <c r="K5" i="4"/>
  <c r="M14" i="5"/>
  <c r="M15" i="5" s="1"/>
  <c r="L5" i="4"/>
  <c r="N14" i="5"/>
  <c r="N15" i="5" s="1"/>
  <c r="M5" i="4"/>
  <c r="D21" i="5"/>
  <c r="D22" i="5" s="1"/>
  <c r="C6" i="4"/>
  <c r="E21" i="5"/>
  <c r="E22" i="5" s="1"/>
  <c r="D6" i="4"/>
  <c r="F21" i="5"/>
  <c r="F22" i="5" s="1"/>
  <c r="E6" i="4"/>
  <c r="G21" i="5"/>
  <c r="G22" i="5" s="1"/>
  <c r="F6" i="4"/>
  <c r="H21" i="5"/>
  <c r="H22" i="5" s="1"/>
  <c r="G6" i="4"/>
  <c r="I21" i="5"/>
  <c r="I22" i="5" s="1"/>
  <c r="H6" i="4"/>
  <c r="J21" i="5"/>
  <c r="J22" i="5" s="1"/>
  <c r="I6" i="4"/>
  <c r="K21" i="5"/>
  <c r="K22" i="5" s="1"/>
  <c r="J6" i="4"/>
  <c r="L21" i="5"/>
  <c r="L22" i="5" s="1"/>
  <c r="K6" i="4"/>
  <c r="M21" i="5"/>
  <c r="M22" i="5" s="1"/>
  <c r="L6" i="4"/>
  <c r="N21" i="5"/>
  <c r="N22" i="5" s="1"/>
  <c r="M6" i="4"/>
  <c r="B10" i="4"/>
  <c r="B9" i="4"/>
  <c r="C10" i="4"/>
  <c r="C9" i="4"/>
  <c r="D10" i="4"/>
  <c r="D9" i="4"/>
  <c r="E10" i="4"/>
  <c r="E9" i="4"/>
  <c r="F10" i="4"/>
  <c r="F9" i="4"/>
  <c r="G10" i="4"/>
  <c r="G9" i="4"/>
  <c r="H10" i="4"/>
  <c r="H9" i="4"/>
  <c r="I10" i="4"/>
  <c r="I9" i="4"/>
  <c r="J10" i="4"/>
  <c r="J9" i="4"/>
  <c r="K10" i="4"/>
  <c r="K9" i="4"/>
  <c r="L10" i="4"/>
  <c r="L9" i="4"/>
  <c r="M10" i="4"/>
  <c r="M9" i="4"/>
  <c r="C21" i="6"/>
  <c r="C22" i="6" s="1"/>
  <c r="B12" i="4"/>
  <c r="D21" i="6"/>
  <c r="D22" i="6" s="1"/>
  <c r="C12" i="4"/>
  <c r="E21" i="6"/>
  <c r="E22" i="6" s="1"/>
  <c r="D12" i="4"/>
  <c r="F21" i="6"/>
  <c r="F22" i="6" s="1"/>
  <c r="E12" i="4"/>
  <c r="G21" i="6"/>
  <c r="G22" i="6" s="1"/>
  <c r="F12" i="4"/>
  <c r="H21" i="6"/>
  <c r="H22" i="6" s="1"/>
  <c r="G12" i="4"/>
  <c r="I21" i="6"/>
  <c r="I22" i="6" s="1"/>
  <c r="H12" i="4"/>
  <c r="J21" i="6"/>
  <c r="J22" i="6" s="1"/>
  <c r="I12" i="4"/>
  <c r="K21" i="6"/>
  <c r="K22" i="6" s="1"/>
  <c r="J12" i="4"/>
  <c r="L21" i="6"/>
  <c r="L22" i="6" s="1"/>
  <c r="K12" i="4"/>
  <c r="M21" i="6"/>
  <c r="M22" i="6" s="1"/>
  <c r="L12" i="4"/>
  <c r="N21" i="6"/>
  <c r="N22" i="6" s="1"/>
  <c r="M12" i="4"/>
  <c r="C28" i="6"/>
  <c r="C29" i="6" s="1"/>
  <c r="B13" i="4"/>
  <c r="D28" i="6"/>
  <c r="D29" i="6" s="1"/>
  <c r="C13" i="4"/>
  <c r="E28" i="6"/>
  <c r="E29" i="6" s="1"/>
  <c r="D13" i="4"/>
  <c r="F28" i="6"/>
  <c r="F29" i="6" s="1"/>
  <c r="E13" i="4"/>
  <c r="G28" i="6"/>
  <c r="G29" i="6" s="1"/>
  <c r="F13" i="4"/>
  <c r="H28" i="6"/>
  <c r="H29" i="6" s="1"/>
  <c r="G13" i="4"/>
  <c r="I28" i="6"/>
  <c r="I29" i="6" s="1"/>
  <c r="H13" i="4"/>
  <c r="J28" i="6"/>
  <c r="J29" i="6" s="1"/>
  <c r="I13" i="4"/>
  <c r="K28" i="6"/>
  <c r="K29" i="6" s="1"/>
  <c r="J13" i="4"/>
  <c r="L28" i="6"/>
  <c r="L29" i="6" s="1"/>
  <c r="K13" i="4"/>
  <c r="M28" i="6"/>
  <c r="M29" i="6" s="1"/>
  <c r="L13" i="4"/>
  <c r="N28" i="6"/>
  <c r="N29" i="6" s="1"/>
  <c r="M13" i="4"/>
  <c r="C35" i="6"/>
  <c r="C36" i="6" s="1"/>
  <c r="B14" i="4"/>
  <c r="D35" i="6"/>
  <c r="D36" i="6" s="1"/>
  <c r="C14" i="4"/>
  <c r="E35" i="6"/>
  <c r="E36" i="6" s="1"/>
  <c r="D14" i="4"/>
  <c r="F35" i="6"/>
  <c r="F36" i="6" s="1"/>
  <c r="E14" i="4"/>
  <c r="G35" i="6"/>
  <c r="G36" i="6" s="1"/>
  <c r="F14" i="4"/>
  <c r="H35" i="6"/>
  <c r="H36" i="6" s="1"/>
  <c r="G14" i="4"/>
  <c r="I35" i="6"/>
  <c r="I36" i="6" s="1"/>
  <c r="H14" i="4"/>
  <c r="J35" i="6"/>
  <c r="J36" i="6" s="1"/>
  <c r="I14" i="4"/>
  <c r="K35" i="6"/>
  <c r="K36" i="6" s="1"/>
  <c r="J14" i="4"/>
  <c r="L35" i="6"/>
  <c r="L36" i="6" s="1"/>
  <c r="K14" i="4"/>
  <c r="M35" i="6"/>
  <c r="M36" i="6" s="1"/>
  <c r="L14" i="4"/>
  <c r="N35" i="6"/>
  <c r="N36" i="6" s="1"/>
  <c r="M14" i="4"/>
  <c r="C42" i="6"/>
  <c r="C43" i="6" s="1"/>
  <c r="B15" i="4"/>
  <c r="D42" i="6"/>
  <c r="D43" i="6" s="1"/>
  <c r="C15" i="4"/>
  <c r="E42" i="6"/>
  <c r="E43" i="6" s="1"/>
  <c r="D15" i="4"/>
  <c r="F42" i="6"/>
  <c r="F43" i="6" s="1"/>
  <c r="E15" i="4"/>
  <c r="G42" i="6"/>
  <c r="G43" i="6" s="1"/>
  <c r="F15" i="4"/>
  <c r="H42" i="6"/>
  <c r="H43" i="6" s="1"/>
  <c r="G15" i="4"/>
  <c r="I42" i="6"/>
  <c r="I43" i="6" s="1"/>
  <c r="H15" i="4"/>
  <c r="J42" i="6"/>
  <c r="J43" i="6" s="1"/>
  <c r="I15" i="4"/>
  <c r="K42" i="6"/>
  <c r="K43" i="6" s="1"/>
  <c r="J15" i="4"/>
  <c r="L42" i="6"/>
  <c r="L43" i="6" s="1"/>
  <c r="K15" i="4"/>
  <c r="M42" i="6"/>
  <c r="M43" i="6" s="1"/>
  <c r="L15" i="4"/>
  <c r="N42" i="6"/>
  <c r="N43" i="6" s="1"/>
  <c r="M15" i="4"/>
  <c r="C49" i="6"/>
  <c r="C50" i="6" s="1"/>
  <c r="B16" i="4"/>
  <c r="D49" i="6"/>
  <c r="D50" i="6" s="1"/>
  <c r="C16" i="4"/>
  <c r="E49" i="6"/>
  <c r="E50" i="6" s="1"/>
  <c r="D16" i="4"/>
  <c r="F49" i="6"/>
  <c r="F50" i="6" s="1"/>
  <c r="E16" i="4"/>
  <c r="G49" i="6"/>
  <c r="G50" i="6" s="1"/>
  <c r="F16" i="4"/>
  <c r="H49" i="6"/>
  <c r="H50" i="6" s="1"/>
  <c r="G16" i="4"/>
  <c r="I49" i="6"/>
  <c r="I50" i="6" s="1"/>
  <c r="H16" i="4"/>
  <c r="J49" i="6"/>
  <c r="J50" i="6" s="1"/>
  <c r="I16" i="4"/>
  <c r="K49" i="6"/>
  <c r="K50" i="6" s="1"/>
  <c r="J16" i="4"/>
  <c r="L49" i="6"/>
  <c r="L50" i="6" s="1"/>
  <c r="K16" i="4"/>
  <c r="M49" i="6"/>
  <c r="M50" i="6" s="1"/>
  <c r="L16" i="4"/>
  <c r="N49" i="6"/>
  <c r="N50" i="6" s="1"/>
  <c r="M16" i="4"/>
  <c r="C56" i="6"/>
  <c r="C57" i="6" s="1"/>
  <c r="B17" i="4"/>
  <c r="D56" i="6"/>
  <c r="D57" i="6" s="1"/>
  <c r="C17" i="4"/>
  <c r="E56" i="6"/>
  <c r="E57" i="6" s="1"/>
  <c r="D17" i="4"/>
  <c r="F56" i="6"/>
  <c r="F57" i="6" s="1"/>
  <c r="E17" i="4"/>
  <c r="G56" i="6"/>
  <c r="G57" i="6" s="1"/>
  <c r="F17" i="4"/>
  <c r="H56" i="6"/>
  <c r="H57" i="6" s="1"/>
  <c r="G17" i="4"/>
  <c r="I56" i="6"/>
  <c r="I57" i="6" s="1"/>
  <c r="H17" i="4"/>
  <c r="J56" i="6"/>
  <c r="J57" i="6" s="1"/>
  <c r="I17" i="4"/>
  <c r="K56" i="6"/>
  <c r="K57" i="6" s="1"/>
  <c r="J17" i="4"/>
  <c r="L56" i="6"/>
  <c r="L57" i="6" s="1"/>
  <c r="K17" i="4"/>
  <c r="M56" i="6"/>
  <c r="M57" i="6" s="1"/>
  <c r="L17" i="4"/>
  <c r="N56" i="6"/>
  <c r="N57" i="6" s="1"/>
  <c r="M17" i="4"/>
  <c r="C63" i="6"/>
  <c r="C64" i="6" s="1"/>
  <c r="B18" i="4"/>
  <c r="D63" i="6"/>
  <c r="D64" i="6" s="1"/>
  <c r="C18" i="4"/>
  <c r="E63" i="6"/>
  <c r="E64" i="6" s="1"/>
  <c r="D18" i="4"/>
  <c r="F63" i="6"/>
  <c r="F64" i="6" s="1"/>
  <c r="E18" i="4"/>
  <c r="G63" i="6"/>
  <c r="G64" i="6" s="1"/>
  <c r="F18" i="4"/>
  <c r="H63" i="6"/>
  <c r="H64" i="6" s="1"/>
  <c r="G18" i="4"/>
  <c r="I63" i="6"/>
  <c r="I64" i="6" s="1"/>
  <c r="H18" i="4"/>
  <c r="J63" i="6"/>
  <c r="J64" i="6" s="1"/>
  <c r="I18" i="4"/>
  <c r="K63" i="6"/>
  <c r="K64" i="6" s="1"/>
  <c r="J18" i="4"/>
  <c r="L63" i="6"/>
  <c r="L64" i="6" s="1"/>
  <c r="K18" i="4"/>
  <c r="M63" i="6"/>
  <c r="M64" i="6" s="1"/>
  <c r="L18" i="4"/>
  <c r="N63" i="6"/>
  <c r="N64" i="6" s="1"/>
  <c r="M18" i="4"/>
  <c r="C70" i="6"/>
  <c r="C71" i="6" s="1"/>
  <c r="B19" i="4"/>
  <c r="D70" i="6"/>
  <c r="D71" i="6" s="1"/>
  <c r="C19" i="4"/>
  <c r="E70" i="6"/>
  <c r="E71" i="6" s="1"/>
  <c r="D19" i="4"/>
  <c r="F70" i="6"/>
  <c r="F71" i="6" s="1"/>
  <c r="E19" i="4"/>
  <c r="G70" i="6"/>
  <c r="G71" i="6" s="1"/>
  <c r="F19" i="4"/>
  <c r="H70" i="6"/>
  <c r="H71" i="6" s="1"/>
  <c r="G19" i="4"/>
  <c r="I70" i="6"/>
  <c r="I71" i="6" s="1"/>
  <c r="H19" i="4"/>
  <c r="J70" i="6"/>
  <c r="J71" i="6" s="1"/>
  <c r="I19" i="4"/>
  <c r="K70" i="6"/>
  <c r="K71" i="6" s="1"/>
  <c r="J19" i="4"/>
  <c r="L70" i="6"/>
  <c r="L71" i="6" s="1"/>
  <c r="K19" i="4"/>
  <c r="M70" i="6"/>
  <c r="M71" i="6" s="1"/>
  <c r="L19" i="4"/>
  <c r="N70" i="6"/>
  <c r="N71" i="6" s="1"/>
  <c r="M19" i="4"/>
  <c r="C77" i="6"/>
  <c r="C78" i="6" s="1"/>
  <c r="B20" i="4"/>
  <c r="D77" i="6"/>
  <c r="D78" i="6" s="1"/>
  <c r="C20" i="4"/>
  <c r="E77" i="6"/>
  <c r="E78" i="6" s="1"/>
  <c r="D20" i="4"/>
  <c r="F77" i="6"/>
  <c r="F78" i="6" s="1"/>
  <c r="E20" i="4"/>
  <c r="G77" i="6"/>
  <c r="G78" i="6" s="1"/>
  <c r="F20" i="4"/>
  <c r="H77" i="6"/>
  <c r="H78" i="6" s="1"/>
  <c r="G20" i="4"/>
  <c r="I77" i="6"/>
  <c r="I78" i="6" s="1"/>
  <c r="H20" i="4"/>
  <c r="J77" i="6"/>
  <c r="J78" i="6" s="1"/>
  <c r="I20" i="4"/>
  <c r="K77" i="6"/>
  <c r="K78" i="6" s="1"/>
  <c r="J20" i="4"/>
  <c r="L77" i="6"/>
  <c r="L78" i="6" s="1"/>
  <c r="K20" i="4"/>
  <c r="M77" i="6"/>
  <c r="M78" i="6" s="1"/>
  <c r="L20" i="4"/>
  <c r="N77" i="6"/>
  <c r="N78" i="6" s="1"/>
  <c r="M20" i="4"/>
  <c r="C112" i="6"/>
  <c r="C113" i="6" s="1"/>
  <c r="B7" i="4"/>
  <c r="D112" i="6"/>
  <c r="D113" i="6" s="1"/>
  <c r="C7" i="4"/>
  <c r="E112" i="6"/>
  <c r="E113" i="6" s="1"/>
  <c r="D7" i="4"/>
  <c r="F112" i="6"/>
  <c r="F113" i="6" s="1"/>
  <c r="E7" i="4"/>
  <c r="G112" i="6"/>
  <c r="G113" i="6" s="1"/>
  <c r="F7" i="4"/>
  <c r="H112" i="6"/>
  <c r="H113" i="6" s="1"/>
  <c r="G7" i="4"/>
  <c r="I112" i="6"/>
  <c r="I113" i="6" s="1"/>
  <c r="H7" i="4"/>
  <c r="J112" i="6"/>
  <c r="J113" i="6" s="1"/>
  <c r="I7" i="4"/>
  <c r="K112" i="6"/>
  <c r="K113" i="6" s="1"/>
  <c r="J7" i="4"/>
  <c r="L112" i="6"/>
  <c r="L113" i="6" s="1"/>
  <c r="K7" i="4"/>
  <c r="M112" i="6"/>
  <c r="M113" i="6" s="1"/>
  <c r="L7" i="4"/>
  <c r="N112" i="6"/>
  <c r="N113" i="6" s="1"/>
  <c r="M7" i="4"/>
  <c r="D27" i="4"/>
  <c r="D26" i="4"/>
  <c r="E27" i="4"/>
  <c r="E26" i="4"/>
  <c r="F27" i="4"/>
  <c r="F26" i="4"/>
  <c r="G27" i="4"/>
  <c r="G26" i="4"/>
  <c r="H27" i="4"/>
  <c r="H26" i="4"/>
  <c r="I27" i="4"/>
  <c r="I26" i="4"/>
  <c r="J27" i="4"/>
  <c r="J26" i="4"/>
  <c r="K27" i="4"/>
  <c r="K26" i="4"/>
  <c r="L27" i="4"/>
  <c r="L26" i="4"/>
  <c r="M27" i="4"/>
  <c r="M26" i="4"/>
  <c r="C7" i="8"/>
  <c r="C8" i="8" s="1"/>
  <c r="B30" i="4"/>
  <c r="B29" i="4"/>
  <c r="B29" i="8"/>
  <c r="C30" i="4"/>
  <c r="C29" i="4"/>
  <c r="D30" i="4"/>
  <c r="D29" i="4"/>
  <c r="E30" i="4"/>
  <c r="E29" i="4"/>
  <c r="F30" i="4"/>
  <c r="F29" i="4"/>
  <c r="G30" i="4"/>
  <c r="G29" i="4"/>
  <c r="H30" i="4"/>
  <c r="H29" i="4"/>
  <c r="I30" i="4"/>
  <c r="I29" i="4"/>
  <c r="J30" i="4"/>
  <c r="J29" i="4"/>
  <c r="K30" i="4"/>
  <c r="K29" i="4"/>
  <c r="L30" i="4"/>
  <c r="L29" i="4"/>
  <c r="M30" i="4"/>
  <c r="M29" i="4"/>
  <c r="C14" i="8"/>
  <c r="C15" i="8" s="1"/>
  <c r="B31" i="4"/>
  <c r="D14" i="8"/>
  <c r="D15" i="8" s="1"/>
  <c r="C31" i="4"/>
  <c r="E14" i="8"/>
  <c r="E15" i="8" s="1"/>
  <c r="D31" i="4"/>
  <c r="F14" i="8"/>
  <c r="F15" i="8" s="1"/>
  <c r="E31" i="4"/>
  <c r="G14" i="8"/>
  <c r="G15" i="8" s="1"/>
  <c r="F31" i="4"/>
  <c r="H14" i="8"/>
  <c r="H15" i="8" s="1"/>
  <c r="G31" i="4"/>
  <c r="I14" i="8"/>
  <c r="I15" i="8" s="1"/>
  <c r="H31" i="4"/>
  <c r="J14" i="8"/>
  <c r="J15" i="8" s="1"/>
  <c r="I31" i="4"/>
  <c r="K14" i="8"/>
  <c r="K15" i="8" s="1"/>
  <c r="J31" i="4"/>
  <c r="L14" i="8"/>
  <c r="L15" i="8" s="1"/>
  <c r="K31" i="4"/>
  <c r="M14" i="8"/>
  <c r="M15" i="8" s="1"/>
  <c r="L31" i="4"/>
  <c r="N14" i="8"/>
  <c r="N15" i="8" s="1"/>
  <c r="M31" i="4"/>
  <c r="C21" i="8"/>
  <c r="C22" i="8" s="1"/>
  <c r="B32" i="4"/>
  <c r="D21" i="8"/>
  <c r="D22" i="8" s="1"/>
  <c r="C32" i="4"/>
  <c r="E21" i="8"/>
  <c r="E22" i="8" s="1"/>
  <c r="D32" i="4"/>
  <c r="F21" i="8"/>
  <c r="F22" i="8" s="1"/>
  <c r="E32" i="4"/>
  <c r="G21" i="8"/>
  <c r="G22" i="8" s="1"/>
  <c r="F32" i="4"/>
  <c r="H21" i="8"/>
  <c r="H22" i="8" s="1"/>
  <c r="G32" i="4"/>
  <c r="I21" i="8"/>
  <c r="I22" i="8" s="1"/>
  <c r="H32" i="4"/>
  <c r="J21" i="8"/>
  <c r="J22" i="8" s="1"/>
  <c r="I32" i="4"/>
  <c r="K21" i="8"/>
  <c r="K22" i="8" s="1"/>
  <c r="J32" i="4"/>
  <c r="L21" i="8"/>
  <c r="L22" i="8" s="1"/>
  <c r="K32" i="4"/>
  <c r="M21" i="8"/>
  <c r="M22" i="8" s="1"/>
  <c r="L32" i="4"/>
  <c r="N21" i="8"/>
  <c r="N22" i="8" s="1"/>
  <c r="M32" i="4"/>
  <c r="C28" i="8"/>
  <c r="C29" i="8" s="1"/>
  <c r="B33" i="4"/>
  <c r="D28" i="8"/>
  <c r="D29" i="8" s="1"/>
  <c r="C33" i="4"/>
  <c r="E28" i="8"/>
  <c r="E29" i="8" s="1"/>
  <c r="D33" i="4"/>
  <c r="F28" i="8"/>
  <c r="F29" i="8" s="1"/>
  <c r="E33" i="4"/>
  <c r="G28" i="8"/>
  <c r="G29" i="8" s="1"/>
  <c r="F33" i="4"/>
  <c r="H28" i="8"/>
  <c r="H29" i="8" s="1"/>
  <c r="G33" i="4"/>
  <c r="I28" i="8"/>
  <c r="I29" i="8" s="1"/>
  <c r="H33" i="4"/>
  <c r="J28" i="8"/>
  <c r="J29" i="8" s="1"/>
  <c r="I33" i="4"/>
  <c r="K28" i="8"/>
  <c r="K29" i="8" s="1"/>
  <c r="J33" i="4"/>
  <c r="L28" i="8"/>
  <c r="L29" i="8" s="1"/>
  <c r="K33" i="4"/>
  <c r="M28" i="8"/>
  <c r="M29" i="8" s="1"/>
  <c r="L33" i="4"/>
  <c r="N28" i="8"/>
  <c r="N29" i="8" s="1"/>
  <c r="M33" i="4"/>
  <c r="C35" i="8"/>
  <c r="C36" i="8" s="1"/>
  <c r="B34" i="4"/>
  <c r="D35" i="8"/>
  <c r="D36" i="8" s="1"/>
  <c r="C34" i="4"/>
  <c r="E35" i="8"/>
  <c r="E36" i="8" s="1"/>
  <c r="D34" i="4"/>
  <c r="F35" i="8"/>
  <c r="F36" i="8" s="1"/>
  <c r="E34" i="4"/>
  <c r="G35" i="8"/>
  <c r="G36" i="8" s="1"/>
  <c r="F34" i="4"/>
  <c r="H35" i="8"/>
  <c r="H36" i="8" s="1"/>
  <c r="G34" i="4"/>
  <c r="I35" i="8"/>
  <c r="I36" i="8" s="1"/>
  <c r="H34" i="4"/>
  <c r="J35" i="8"/>
  <c r="J36" i="8" s="1"/>
  <c r="I34" i="4"/>
  <c r="K35" i="8"/>
  <c r="K36" i="8" s="1"/>
  <c r="J34" i="4"/>
  <c r="L35" i="8"/>
  <c r="L36" i="8" s="1"/>
  <c r="K34" i="4"/>
  <c r="M35" i="8"/>
  <c r="M36" i="8" s="1"/>
  <c r="L34" i="4"/>
  <c r="N35" i="8"/>
  <c r="N36" i="8" s="1"/>
  <c r="M34" i="4"/>
  <c r="C42" i="8"/>
  <c r="C43" i="8" s="1"/>
  <c r="B35" i="4"/>
  <c r="D42" i="8"/>
  <c r="D43" i="8" s="1"/>
  <c r="C35" i="4"/>
  <c r="E42" i="8"/>
  <c r="E43" i="8" s="1"/>
  <c r="D35" i="4"/>
  <c r="F42" i="8"/>
  <c r="F43" i="8" s="1"/>
  <c r="E35" i="4"/>
  <c r="G42" i="8"/>
  <c r="G43" i="8" s="1"/>
  <c r="F35" i="4"/>
  <c r="H42" i="8"/>
  <c r="H43" i="8" s="1"/>
  <c r="G35" i="4"/>
  <c r="I42" i="8"/>
  <c r="I43" i="8" s="1"/>
  <c r="H35" i="4"/>
  <c r="J42" i="8"/>
  <c r="J43" i="8" s="1"/>
  <c r="I35" i="4"/>
  <c r="K42" i="8"/>
  <c r="K43" i="8" s="1"/>
  <c r="J35" i="4"/>
  <c r="L42" i="8"/>
  <c r="L43" i="8" s="1"/>
  <c r="K35" i="4"/>
  <c r="M42" i="8"/>
  <c r="M43" i="8" s="1"/>
  <c r="L35" i="4"/>
  <c r="N42" i="8"/>
  <c r="N43" i="8" s="1"/>
  <c r="M35" i="4"/>
  <c r="C49" i="8"/>
  <c r="C50" i="8" s="1"/>
  <c r="B36" i="4"/>
  <c r="D49" i="8"/>
  <c r="D50" i="8" s="1"/>
  <c r="C36" i="4"/>
  <c r="E49" i="8"/>
  <c r="E50" i="8" s="1"/>
  <c r="D36" i="4"/>
  <c r="F49" i="8"/>
  <c r="F50" i="8" s="1"/>
  <c r="E36" i="4"/>
  <c r="G49" i="8"/>
  <c r="G50" i="8" s="1"/>
  <c r="F36" i="4"/>
  <c r="H49" i="8"/>
  <c r="H50" i="8" s="1"/>
  <c r="G36" i="4"/>
  <c r="I49" i="8"/>
  <c r="I50" i="8" s="1"/>
  <c r="H36" i="4"/>
  <c r="J49" i="8"/>
  <c r="J50" i="8" s="1"/>
  <c r="I36" i="4"/>
  <c r="K49" i="8"/>
  <c r="K50" i="8" s="1"/>
  <c r="J36" i="4"/>
  <c r="L49" i="8"/>
  <c r="L50" i="8" s="1"/>
  <c r="K36" i="4"/>
  <c r="M49" i="8"/>
  <c r="M50" i="8" s="1"/>
  <c r="L36" i="4"/>
  <c r="N49" i="8"/>
  <c r="N50" i="8" s="1"/>
  <c r="M36" i="4"/>
  <c r="C56" i="8"/>
  <c r="C57" i="8" s="1"/>
  <c r="B37" i="4"/>
  <c r="D56" i="8"/>
  <c r="D57" i="8" s="1"/>
  <c r="C37" i="4"/>
  <c r="E56" i="8"/>
  <c r="E57" i="8" s="1"/>
  <c r="D37" i="4"/>
  <c r="F56" i="8"/>
  <c r="F57" i="8" s="1"/>
  <c r="E37" i="4"/>
  <c r="G56" i="8"/>
  <c r="G57" i="8" s="1"/>
  <c r="F37" i="4"/>
  <c r="H56" i="8"/>
  <c r="H57" i="8" s="1"/>
  <c r="G37" i="4"/>
  <c r="I56" i="8"/>
  <c r="I57" i="8" s="1"/>
  <c r="H37" i="4"/>
  <c r="J56" i="8"/>
  <c r="J57" i="8" s="1"/>
  <c r="I37" i="4"/>
  <c r="K56" i="8"/>
  <c r="K57" i="8" s="1"/>
  <c r="J37" i="4"/>
  <c r="L56" i="8"/>
  <c r="L57" i="8" s="1"/>
  <c r="K37" i="4"/>
  <c r="M56" i="8"/>
  <c r="M57" i="8" s="1"/>
  <c r="L37" i="4"/>
  <c r="N56" i="8"/>
  <c r="N57" i="8" s="1"/>
  <c r="M37" i="4"/>
  <c r="C63" i="8"/>
  <c r="C64" i="8" s="1"/>
  <c r="B38" i="4"/>
  <c r="D63" i="8"/>
  <c r="D64" i="8" s="1"/>
  <c r="C38" i="4"/>
  <c r="E63" i="8"/>
  <c r="E64" i="8" s="1"/>
  <c r="D38" i="4"/>
  <c r="F63" i="8"/>
  <c r="F64" i="8" s="1"/>
  <c r="E38" i="4"/>
  <c r="G63" i="8"/>
  <c r="G64" i="8" s="1"/>
  <c r="F38" i="4"/>
  <c r="H63" i="8"/>
  <c r="H64" i="8" s="1"/>
  <c r="G38" i="4"/>
  <c r="I63" i="8"/>
  <c r="I64" i="8" s="1"/>
  <c r="H38" i="4"/>
  <c r="J63" i="8"/>
  <c r="J64" i="8" s="1"/>
  <c r="I38" i="4"/>
  <c r="K63" i="8"/>
  <c r="K64" i="8" s="1"/>
  <c r="J38" i="4"/>
  <c r="L63" i="8"/>
  <c r="L64" i="8" s="1"/>
  <c r="K38" i="4"/>
  <c r="M63" i="8"/>
  <c r="M64" i="8" s="1"/>
  <c r="L38" i="4"/>
  <c r="N63" i="8"/>
  <c r="N64" i="8" s="1"/>
  <c r="M38" i="4"/>
  <c r="C70" i="8"/>
  <c r="C71" i="8" s="1"/>
  <c r="B39" i="4"/>
  <c r="D70" i="8"/>
  <c r="D71" i="8" s="1"/>
  <c r="C39" i="4"/>
  <c r="E70" i="8"/>
  <c r="E71" i="8" s="1"/>
  <c r="D39" i="4"/>
  <c r="F70" i="8"/>
  <c r="F71" i="8" s="1"/>
  <c r="E39" i="4"/>
  <c r="G70" i="8"/>
  <c r="G71" i="8" s="1"/>
  <c r="F39" i="4"/>
  <c r="H70" i="8"/>
  <c r="H71" i="8" s="1"/>
  <c r="G39" i="4"/>
  <c r="I70" i="8"/>
  <c r="I71" i="8" s="1"/>
  <c r="H39" i="4"/>
  <c r="J70" i="8"/>
  <c r="J71" i="8" s="1"/>
  <c r="I39" i="4"/>
  <c r="K70" i="8"/>
  <c r="K71" i="8" s="1"/>
  <c r="J39" i="4"/>
  <c r="L70" i="8"/>
  <c r="L71" i="8" s="1"/>
  <c r="K39" i="4"/>
  <c r="M70" i="8"/>
  <c r="M71" i="8" s="1"/>
  <c r="L39" i="4"/>
  <c r="N70" i="8"/>
  <c r="N71" i="8" s="1"/>
  <c r="M39" i="4"/>
  <c r="C77" i="8"/>
  <c r="C78" i="8" s="1"/>
  <c r="B40" i="4"/>
  <c r="D77" i="8"/>
  <c r="D78" i="8" s="1"/>
  <c r="C40" i="4"/>
  <c r="E77" i="8"/>
  <c r="E78" i="8" s="1"/>
  <c r="D40" i="4"/>
  <c r="F77" i="8"/>
  <c r="F78" i="8" s="1"/>
  <c r="E40" i="4"/>
  <c r="G77" i="8"/>
  <c r="G78" i="8" s="1"/>
  <c r="F40" i="4"/>
  <c r="H77" i="8"/>
  <c r="H78" i="8" s="1"/>
  <c r="G40" i="4"/>
  <c r="I77" i="8"/>
  <c r="I78" i="8" s="1"/>
  <c r="H40" i="4"/>
  <c r="J77" i="8"/>
  <c r="J78" i="8" s="1"/>
  <c r="I40" i="4"/>
  <c r="K77" i="8"/>
  <c r="K78" i="8" s="1"/>
  <c r="J40" i="4"/>
  <c r="L77" i="8"/>
  <c r="L78" i="8" s="1"/>
  <c r="K40" i="4"/>
  <c r="M77" i="8"/>
  <c r="M78" i="8" s="1"/>
  <c r="L40" i="4"/>
  <c r="N77" i="8"/>
  <c r="N78" i="8" s="1"/>
  <c r="M40" i="4"/>
  <c r="C84" i="8"/>
  <c r="C85" i="8" s="1"/>
  <c r="B41" i="4"/>
  <c r="D84" i="8"/>
  <c r="D85" i="8" s="1"/>
  <c r="C41" i="4"/>
  <c r="E84" i="8"/>
  <c r="E85" i="8" s="1"/>
  <c r="D41" i="4"/>
  <c r="F84" i="8"/>
  <c r="F85" i="8" s="1"/>
  <c r="E41" i="4"/>
  <c r="G84" i="8"/>
  <c r="G85" i="8" s="1"/>
  <c r="F41" i="4"/>
  <c r="H84" i="8"/>
  <c r="H85" i="8" s="1"/>
  <c r="G41" i="4"/>
  <c r="I84" i="8"/>
  <c r="I85" i="8" s="1"/>
  <c r="H41" i="4"/>
  <c r="J84" i="8"/>
  <c r="J85" i="8" s="1"/>
  <c r="I41" i="4"/>
  <c r="K84" i="8"/>
  <c r="K85" i="8" s="1"/>
  <c r="J41" i="4"/>
  <c r="L84" i="8"/>
  <c r="L85" i="8" s="1"/>
  <c r="K41" i="4"/>
  <c r="M84" i="8"/>
  <c r="M85" i="8" s="1"/>
  <c r="L41" i="4"/>
  <c r="N84" i="8"/>
  <c r="N85" i="8" s="1"/>
  <c r="M41" i="4"/>
  <c r="C91" i="8"/>
  <c r="C92" i="8" s="1"/>
  <c r="B42" i="4"/>
  <c r="D91" i="8"/>
  <c r="D92" i="8" s="1"/>
  <c r="C42" i="4"/>
  <c r="E91" i="8"/>
  <c r="E92" i="8" s="1"/>
  <c r="D42" i="4"/>
  <c r="F91" i="8"/>
  <c r="F92" i="8" s="1"/>
  <c r="E42" i="4"/>
  <c r="G91" i="8"/>
  <c r="G92" i="8" s="1"/>
  <c r="F42" i="4"/>
  <c r="H91" i="8"/>
  <c r="H92" i="8" s="1"/>
  <c r="G42" i="4"/>
  <c r="I91" i="8"/>
  <c r="I92" i="8" s="1"/>
  <c r="H42" i="4"/>
  <c r="J91" i="8"/>
  <c r="J92" i="8" s="1"/>
  <c r="I42" i="4"/>
  <c r="K91" i="8"/>
  <c r="K92" i="8" s="1"/>
  <c r="J42" i="4"/>
  <c r="L91" i="8"/>
  <c r="L92" i="8" s="1"/>
  <c r="K42" i="4"/>
  <c r="M91" i="8"/>
  <c r="M92" i="8" s="1"/>
  <c r="L42" i="4"/>
  <c r="N91" i="8"/>
  <c r="N92" i="8" s="1"/>
  <c r="M42" i="4"/>
  <c r="C98" i="8"/>
  <c r="C99" i="8" s="1"/>
  <c r="B43" i="4"/>
  <c r="D98" i="8"/>
  <c r="D99" i="8" s="1"/>
  <c r="C43" i="4"/>
  <c r="E98" i="8"/>
  <c r="E99" i="8" s="1"/>
  <c r="D43" i="4"/>
  <c r="F98" i="8"/>
  <c r="F99" i="8" s="1"/>
  <c r="E43" i="4"/>
  <c r="G98" i="8"/>
  <c r="G99" i="8" s="1"/>
  <c r="F43" i="4"/>
  <c r="H98" i="8"/>
  <c r="H99" i="8" s="1"/>
  <c r="G43" i="4"/>
  <c r="I98" i="8"/>
  <c r="I99" i="8" s="1"/>
  <c r="H43" i="4"/>
  <c r="J98" i="8"/>
  <c r="J99" i="8" s="1"/>
  <c r="I43" i="4"/>
  <c r="K98" i="8"/>
  <c r="K99" i="8" s="1"/>
  <c r="J43" i="4"/>
  <c r="L98" i="8"/>
  <c r="L99" i="8" s="1"/>
  <c r="K43" i="4"/>
  <c r="M98" i="8"/>
  <c r="M99" i="8" s="1"/>
  <c r="L43" i="4"/>
  <c r="N98" i="8"/>
  <c r="N99" i="8" s="1"/>
  <c r="M43" i="4"/>
  <c r="C105" i="8"/>
  <c r="C106" i="8" s="1"/>
  <c r="B44" i="4"/>
  <c r="D105" i="8"/>
  <c r="D106" i="8" s="1"/>
  <c r="C44" i="4"/>
  <c r="E105" i="8"/>
  <c r="E106" i="8" s="1"/>
  <c r="D44" i="4"/>
  <c r="F105" i="8"/>
  <c r="F106" i="8" s="1"/>
  <c r="E44" i="4"/>
  <c r="G105" i="8"/>
  <c r="G106" i="8" s="1"/>
  <c r="F44" i="4"/>
  <c r="H105" i="8"/>
  <c r="H106" i="8" s="1"/>
  <c r="G44" i="4"/>
  <c r="I105" i="8"/>
  <c r="I106" i="8" s="1"/>
  <c r="H44" i="4"/>
  <c r="J105" i="8"/>
  <c r="J106" i="8" s="1"/>
  <c r="I44" i="4"/>
  <c r="K105" i="8"/>
  <c r="K106" i="8" s="1"/>
  <c r="J44" i="4"/>
  <c r="L105" i="8"/>
  <c r="L106" i="8" s="1"/>
  <c r="K44" i="4"/>
  <c r="M105" i="8"/>
  <c r="M106" i="8" s="1"/>
  <c r="L44" i="4"/>
  <c r="N105" i="8"/>
  <c r="N106" i="8" s="1"/>
  <c r="M44" i="4"/>
  <c r="C112" i="8"/>
  <c r="C113" i="8" s="1"/>
  <c r="B45" i="4"/>
  <c r="D112" i="8"/>
  <c r="D113" i="8" s="1"/>
  <c r="C45" i="4"/>
  <c r="E112" i="8"/>
  <c r="E113" i="8" s="1"/>
  <c r="D45" i="4"/>
  <c r="F112" i="8"/>
  <c r="F113" i="8" s="1"/>
  <c r="E45" i="4"/>
  <c r="G112" i="8"/>
  <c r="G113" i="8" s="1"/>
  <c r="F45" i="4"/>
  <c r="H112" i="8"/>
  <c r="H113" i="8" s="1"/>
  <c r="G45" i="4"/>
  <c r="I112" i="8"/>
  <c r="I113" i="8" s="1"/>
  <c r="H45" i="4"/>
  <c r="J112" i="8"/>
  <c r="J113" i="8" s="1"/>
  <c r="I45" i="4"/>
  <c r="K112" i="8"/>
  <c r="K113" i="8" s="1"/>
  <c r="J45" i="4"/>
  <c r="L112" i="8"/>
  <c r="L113" i="8" s="1"/>
  <c r="K45" i="4"/>
  <c r="M112" i="8"/>
  <c r="M113" i="8" s="1"/>
  <c r="L45" i="4"/>
  <c r="N112" i="8"/>
  <c r="N113" i="8" s="1"/>
  <c r="M45" i="4"/>
  <c r="C119" i="8"/>
  <c r="C120" i="8" s="1"/>
  <c r="B46" i="4"/>
  <c r="D119" i="8"/>
  <c r="D120" i="8" s="1"/>
  <c r="C46" i="4"/>
  <c r="E119" i="8"/>
  <c r="E120" i="8" s="1"/>
  <c r="D46" i="4"/>
  <c r="F119" i="8"/>
  <c r="F120" i="8" s="1"/>
  <c r="E46" i="4"/>
  <c r="G119" i="8"/>
  <c r="G120" i="8" s="1"/>
  <c r="F46" i="4"/>
  <c r="H119" i="8"/>
  <c r="H120" i="8" s="1"/>
  <c r="G46" i="4"/>
  <c r="I119" i="8"/>
  <c r="I120" i="8" s="1"/>
  <c r="H46" i="4"/>
  <c r="J119" i="8"/>
  <c r="J120" i="8" s="1"/>
  <c r="I46" i="4"/>
  <c r="K119" i="8"/>
  <c r="K120" i="8" s="1"/>
  <c r="J46" i="4"/>
  <c r="L119" i="8"/>
  <c r="L120" i="8" s="1"/>
  <c r="K46" i="4"/>
  <c r="M119" i="8"/>
  <c r="M120" i="8" s="1"/>
  <c r="L46" i="4"/>
  <c r="N119" i="8"/>
  <c r="N120" i="8" s="1"/>
  <c r="M46" i="4"/>
  <c r="C126" i="8"/>
  <c r="C127" i="8" s="1"/>
  <c r="B47" i="4"/>
  <c r="D126" i="8"/>
  <c r="D127" i="8" s="1"/>
  <c r="C47" i="4"/>
  <c r="E126" i="8"/>
  <c r="E127" i="8" s="1"/>
  <c r="D47" i="4"/>
  <c r="F126" i="8"/>
  <c r="F127" i="8" s="1"/>
  <c r="E47" i="4"/>
  <c r="G126" i="8"/>
  <c r="G127" i="8" s="1"/>
  <c r="F47" i="4"/>
  <c r="H126" i="8"/>
  <c r="H127" i="8" s="1"/>
  <c r="G47" i="4"/>
  <c r="I126" i="8"/>
  <c r="I127" i="8" s="1"/>
  <c r="H47" i="4"/>
  <c r="J126" i="8"/>
  <c r="J127" i="8" s="1"/>
  <c r="I47" i="4"/>
  <c r="K126" i="8"/>
  <c r="K127" i="8" s="1"/>
  <c r="J47" i="4"/>
  <c r="L126" i="8"/>
  <c r="L127" i="8" s="1"/>
  <c r="K47" i="4"/>
  <c r="M126" i="8"/>
  <c r="M127" i="8" s="1"/>
  <c r="L47" i="4"/>
  <c r="N126" i="8"/>
  <c r="N127" i="8" s="1"/>
  <c r="M47" i="4"/>
  <c r="C133" i="8"/>
  <c r="C134" i="8" s="1"/>
  <c r="B48" i="4"/>
  <c r="D133" i="8"/>
  <c r="D134" i="8" s="1"/>
  <c r="C48" i="4"/>
  <c r="E133" i="8"/>
  <c r="E134" i="8" s="1"/>
  <c r="D48" i="4"/>
  <c r="F133" i="8"/>
  <c r="F134" i="8" s="1"/>
  <c r="E48" i="4"/>
  <c r="G133" i="8"/>
  <c r="G134" i="8" s="1"/>
  <c r="F48" i="4"/>
  <c r="H133" i="8"/>
  <c r="H134" i="8" s="1"/>
  <c r="G48" i="4"/>
  <c r="I133" i="8"/>
  <c r="I134" i="8" s="1"/>
  <c r="H48" i="4"/>
  <c r="J133" i="8"/>
  <c r="J134" i="8" s="1"/>
  <c r="I48" i="4"/>
  <c r="K133" i="8"/>
  <c r="K134" i="8" s="1"/>
  <c r="J48" i="4"/>
  <c r="L133" i="8"/>
  <c r="L134" i="8" s="1"/>
  <c r="K48" i="4"/>
  <c r="M133" i="8"/>
  <c r="M134" i="8" s="1"/>
  <c r="L48" i="4"/>
  <c r="N133" i="8"/>
  <c r="N134" i="8" s="1"/>
  <c r="M48" i="4"/>
  <c r="C140" i="8"/>
  <c r="C141" i="8" s="1"/>
  <c r="B49" i="4"/>
  <c r="D140" i="8"/>
  <c r="D141" i="8" s="1"/>
  <c r="C49" i="4"/>
  <c r="E140" i="8"/>
  <c r="E141" i="8" s="1"/>
  <c r="D49" i="4"/>
  <c r="F140" i="8"/>
  <c r="F141" i="8" s="1"/>
  <c r="E49" i="4"/>
  <c r="G140" i="8"/>
  <c r="G141" i="8" s="1"/>
  <c r="F49" i="4"/>
  <c r="H140" i="8"/>
  <c r="H141" i="8" s="1"/>
  <c r="G49" i="4"/>
  <c r="I140" i="8"/>
  <c r="I141" i="8" s="1"/>
  <c r="H49" i="4"/>
  <c r="J140" i="8"/>
  <c r="J141" i="8" s="1"/>
  <c r="I49" i="4"/>
  <c r="K140" i="8"/>
  <c r="K141" i="8" s="1"/>
  <c r="J49" i="4"/>
  <c r="L140" i="8"/>
  <c r="L141" i="8" s="1"/>
  <c r="K49" i="4"/>
  <c r="M140" i="8"/>
  <c r="M141" i="8" s="1"/>
  <c r="L49" i="4"/>
  <c r="N140" i="8"/>
  <c r="N141" i="8" s="1"/>
  <c r="M49" i="4"/>
  <c r="C147" i="8"/>
  <c r="C148" i="8" s="1"/>
  <c r="B50" i="4"/>
  <c r="D147" i="8"/>
  <c r="D148" i="8" s="1"/>
  <c r="C50" i="4"/>
  <c r="E147" i="8"/>
  <c r="E148" i="8" s="1"/>
  <c r="D50" i="4"/>
  <c r="F147" i="8"/>
  <c r="F148" i="8" s="1"/>
  <c r="E50" i="4"/>
  <c r="G147" i="8"/>
  <c r="G148" i="8" s="1"/>
  <c r="F50" i="4"/>
  <c r="H147" i="8"/>
  <c r="H148" i="8" s="1"/>
  <c r="G50" i="4"/>
  <c r="I147" i="8"/>
  <c r="I148" i="8" s="1"/>
  <c r="H50" i="4"/>
  <c r="J147" i="8"/>
  <c r="J148" i="8" s="1"/>
  <c r="I50" i="4"/>
  <c r="K147" i="8"/>
  <c r="K148" i="8" s="1"/>
  <c r="J50" i="4"/>
  <c r="L147" i="8"/>
  <c r="L148" i="8" s="1"/>
  <c r="K50" i="4"/>
  <c r="M147" i="8"/>
  <c r="M148" i="8" s="1"/>
  <c r="L50" i="4"/>
  <c r="N147" i="8"/>
  <c r="N148" i="8" s="1"/>
  <c r="M50" i="4"/>
  <c r="C154" i="8"/>
  <c r="C155" i="8" s="1"/>
  <c r="B51" i="4"/>
  <c r="D154" i="8"/>
  <c r="D155" i="8" s="1"/>
  <c r="C51" i="4"/>
  <c r="E154" i="8"/>
  <c r="E155" i="8" s="1"/>
  <c r="D51" i="4"/>
  <c r="F154" i="8"/>
  <c r="F155" i="8" s="1"/>
  <c r="E51" i="4"/>
  <c r="G154" i="8"/>
  <c r="G155" i="8" s="1"/>
  <c r="F51" i="4"/>
  <c r="H154" i="8"/>
  <c r="H155" i="8" s="1"/>
  <c r="G51" i="4"/>
  <c r="I154" i="8"/>
  <c r="I155" i="8" s="1"/>
  <c r="H51" i="4"/>
  <c r="J154" i="8"/>
  <c r="J155" i="8" s="1"/>
  <c r="I51" i="4"/>
  <c r="K154" i="8"/>
  <c r="K155" i="8" s="1"/>
  <c r="J51" i="4"/>
  <c r="L154" i="8"/>
  <c r="L155" i="8" s="1"/>
  <c r="K51" i="4"/>
  <c r="M154" i="8"/>
  <c r="M155" i="8" s="1"/>
  <c r="L51" i="4"/>
  <c r="N154" i="8"/>
  <c r="N155" i="8" s="1"/>
  <c r="M51" i="4"/>
  <c r="C161" i="8"/>
  <c r="C162" i="8" s="1"/>
  <c r="B52" i="4"/>
  <c r="D161" i="8"/>
  <c r="D162" i="8" s="1"/>
  <c r="C52" i="4"/>
  <c r="E161" i="8"/>
  <c r="E162" i="8" s="1"/>
  <c r="D52" i="4"/>
  <c r="F161" i="8"/>
  <c r="F162" i="8" s="1"/>
  <c r="E52" i="4"/>
  <c r="G161" i="8"/>
  <c r="G162" i="8" s="1"/>
  <c r="F52" i="4"/>
  <c r="H161" i="8"/>
  <c r="H162" i="8" s="1"/>
  <c r="G52" i="4"/>
  <c r="I161" i="8"/>
  <c r="I162" i="8" s="1"/>
  <c r="H52" i="4"/>
  <c r="J161" i="8"/>
  <c r="J162" i="8" s="1"/>
  <c r="I52" i="4"/>
  <c r="K161" i="8"/>
  <c r="K162" i="8" s="1"/>
  <c r="J52" i="4"/>
  <c r="L161" i="8"/>
  <c r="L162" i="8" s="1"/>
  <c r="K52" i="4"/>
  <c r="M161" i="8"/>
  <c r="M162" i="8" s="1"/>
  <c r="L52" i="4"/>
  <c r="N161" i="8"/>
  <c r="N162" i="8" s="1"/>
  <c r="M52" i="4"/>
  <c r="C168" i="8"/>
  <c r="C169" i="8" s="1"/>
  <c r="B53" i="4"/>
  <c r="D168" i="8"/>
  <c r="D169" i="8" s="1"/>
  <c r="C53" i="4"/>
  <c r="E168" i="8"/>
  <c r="E169" i="8" s="1"/>
  <c r="D53" i="4"/>
  <c r="F168" i="8"/>
  <c r="F169" i="8" s="1"/>
  <c r="E53" i="4"/>
  <c r="G168" i="8"/>
  <c r="G169" i="8" s="1"/>
  <c r="F53" i="4"/>
  <c r="H168" i="8"/>
  <c r="H169" i="8" s="1"/>
  <c r="G53" i="4"/>
  <c r="I168" i="8"/>
  <c r="I169" i="8" s="1"/>
  <c r="H53" i="4"/>
  <c r="J168" i="8"/>
  <c r="J169" i="8" s="1"/>
  <c r="I53" i="4"/>
  <c r="K168" i="8"/>
  <c r="K169" i="8" s="1"/>
  <c r="J53" i="4"/>
  <c r="L168" i="8"/>
  <c r="L169" i="8" s="1"/>
  <c r="K53" i="4"/>
  <c r="M168" i="8"/>
  <c r="M169" i="8" s="1"/>
  <c r="L53" i="4"/>
  <c r="N168" i="8"/>
  <c r="N169" i="8" s="1"/>
  <c r="M53" i="4"/>
  <c r="C175" i="8"/>
  <c r="C176" i="8" s="1"/>
  <c r="B54" i="4"/>
  <c r="D175" i="8"/>
  <c r="D176" i="8" s="1"/>
  <c r="C54" i="4"/>
  <c r="E175" i="8"/>
  <c r="E176" i="8" s="1"/>
  <c r="D54" i="4"/>
  <c r="F175" i="8"/>
  <c r="F176" i="8" s="1"/>
  <c r="E54" i="4"/>
  <c r="G175" i="8"/>
  <c r="G176" i="8" s="1"/>
  <c r="F54" i="4"/>
  <c r="H175" i="8"/>
  <c r="H176" i="8" s="1"/>
  <c r="G54" i="4"/>
  <c r="I175" i="8"/>
  <c r="I176" i="8" s="1"/>
  <c r="H54" i="4"/>
  <c r="J175" i="8"/>
  <c r="J176" i="8" s="1"/>
  <c r="I54" i="4"/>
  <c r="K175" i="8"/>
  <c r="K176" i="8" s="1"/>
  <c r="J54" i="4"/>
  <c r="L175" i="8"/>
  <c r="L176" i="8" s="1"/>
  <c r="K54" i="4"/>
  <c r="M175" i="8"/>
  <c r="M176" i="8" s="1"/>
  <c r="L54" i="4"/>
  <c r="N175" i="8"/>
  <c r="N176" i="8" s="1"/>
  <c r="M54" i="4"/>
  <c r="C182" i="8"/>
  <c r="C183" i="8" s="1"/>
  <c r="B55" i="4"/>
  <c r="D182" i="8"/>
  <c r="D183" i="8" s="1"/>
  <c r="C55" i="4"/>
  <c r="E182" i="8"/>
  <c r="E183" i="8" s="1"/>
  <c r="D55" i="4"/>
  <c r="F182" i="8"/>
  <c r="F183" i="8" s="1"/>
  <c r="E55" i="4"/>
  <c r="G182" i="8"/>
  <c r="G183" i="8" s="1"/>
  <c r="F55" i="4"/>
  <c r="H182" i="8"/>
  <c r="H183" i="8" s="1"/>
  <c r="G55" i="4"/>
  <c r="I182" i="8"/>
  <c r="I183" i="8" s="1"/>
  <c r="H55" i="4"/>
  <c r="J182" i="8"/>
  <c r="J183" i="8" s="1"/>
  <c r="I55" i="4"/>
  <c r="K182" i="8"/>
  <c r="K183" i="8" s="1"/>
  <c r="J55" i="4"/>
  <c r="L182" i="8"/>
  <c r="L183" i="8" s="1"/>
  <c r="K55" i="4"/>
  <c r="M182" i="8"/>
  <c r="M183" i="8" s="1"/>
  <c r="L55" i="4"/>
  <c r="N182" i="8"/>
  <c r="N183" i="8" s="1"/>
  <c r="M55" i="4"/>
  <c r="C189" i="8"/>
  <c r="C190" i="8" s="1"/>
  <c r="B56" i="4"/>
  <c r="D189" i="8"/>
  <c r="D190" i="8" s="1"/>
  <c r="C56" i="4"/>
  <c r="E189" i="8"/>
  <c r="E190" i="8" s="1"/>
  <c r="D56" i="4"/>
  <c r="F189" i="8"/>
  <c r="F190" i="8" s="1"/>
  <c r="E56" i="4"/>
  <c r="G189" i="8"/>
  <c r="G190" i="8" s="1"/>
  <c r="F56" i="4"/>
  <c r="H189" i="8"/>
  <c r="H190" i="8" s="1"/>
  <c r="G56" i="4"/>
  <c r="I189" i="8"/>
  <c r="I190" i="8" s="1"/>
  <c r="H56" i="4"/>
  <c r="J189" i="8"/>
  <c r="J190" i="8" s="1"/>
  <c r="I56" i="4"/>
  <c r="K189" i="8"/>
  <c r="K190" i="8" s="1"/>
  <c r="J56" i="4"/>
  <c r="L189" i="8"/>
  <c r="L190" i="8" s="1"/>
  <c r="K56" i="4"/>
  <c r="M189" i="8"/>
  <c r="M190" i="8" s="1"/>
  <c r="L56" i="4"/>
  <c r="N189" i="8"/>
  <c r="N190" i="8" s="1"/>
  <c r="M56" i="4"/>
  <c r="B59" i="4"/>
  <c r="B58" i="4"/>
  <c r="C59" i="4"/>
  <c r="C58" i="4"/>
  <c r="D59" i="4"/>
  <c r="D58" i="4"/>
  <c r="E59" i="4"/>
  <c r="E58" i="4"/>
  <c r="F59" i="4"/>
  <c r="F58" i="4"/>
  <c r="G59" i="4"/>
  <c r="G58" i="4"/>
  <c r="H59" i="4"/>
  <c r="H58" i="4"/>
  <c r="I59" i="4"/>
  <c r="I58" i="4"/>
  <c r="J59" i="4"/>
  <c r="J58" i="4"/>
  <c r="K59" i="4"/>
  <c r="K58" i="4"/>
  <c r="L59" i="4"/>
  <c r="L58" i="4"/>
  <c r="M59" i="4"/>
  <c r="M58" i="4"/>
  <c r="C14" i="9"/>
  <c r="C15" i="9" s="1"/>
  <c r="B60" i="4"/>
  <c r="D14" i="9"/>
  <c r="D15" i="9" s="1"/>
  <c r="C60" i="4"/>
  <c r="E14" i="9"/>
  <c r="E15" i="9" s="1"/>
  <c r="D60" i="4"/>
  <c r="F14" i="9"/>
  <c r="F15" i="9" s="1"/>
  <c r="E60" i="4"/>
  <c r="G14" i="9"/>
  <c r="G15" i="9" s="1"/>
  <c r="F60" i="4"/>
  <c r="H14" i="9"/>
  <c r="H15" i="9" s="1"/>
  <c r="G60" i="4"/>
  <c r="I14" i="9"/>
  <c r="I15" i="9" s="1"/>
  <c r="H60" i="4"/>
  <c r="J14" i="9"/>
  <c r="J15" i="9" s="1"/>
  <c r="I60" i="4"/>
  <c r="K14" i="9"/>
  <c r="K15" i="9" s="1"/>
  <c r="J60" i="4"/>
  <c r="L14" i="9"/>
  <c r="L15" i="9" s="1"/>
  <c r="K60" i="4"/>
  <c r="M14" i="9"/>
  <c r="M15" i="9" s="1"/>
  <c r="L60" i="4"/>
  <c r="N14" i="9"/>
  <c r="N15" i="9" s="1"/>
  <c r="M60" i="4"/>
  <c r="C21" i="9"/>
  <c r="C22" i="9" s="1"/>
  <c r="B61" i="4"/>
  <c r="D21" i="9"/>
  <c r="D22" i="9" s="1"/>
  <c r="C61" i="4"/>
  <c r="E21" i="9"/>
  <c r="E22" i="9" s="1"/>
  <c r="D61" i="4"/>
  <c r="F21" i="9"/>
  <c r="F22" i="9" s="1"/>
  <c r="E61" i="4"/>
  <c r="G21" i="9"/>
  <c r="G22" i="9" s="1"/>
  <c r="F61" i="4"/>
  <c r="H21" i="9"/>
  <c r="H22" i="9" s="1"/>
  <c r="G61" i="4"/>
  <c r="I21" i="9"/>
  <c r="I22" i="9" s="1"/>
  <c r="H61" i="4"/>
  <c r="J21" i="9"/>
  <c r="J22" i="9" s="1"/>
  <c r="I61" i="4"/>
  <c r="K21" i="9"/>
  <c r="K22" i="9" s="1"/>
  <c r="J61" i="4"/>
  <c r="L21" i="9"/>
  <c r="L22" i="9" s="1"/>
  <c r="K61" i="4"/>
  <c r="M21" i="9"/>
  <c r="M22" i="9" s="1"/>
  <c r="L61" i="4"/>
  <c r="N21" i="9"/>
  <c r="N22" i="9" s="1"/>
  <c r="M61" i="4"/>
  <c r="C28" i="9"/>
  <c r="C29" i="9" s="1"/>
  <c r="B62" i="4"/>
  <c r="D28" i="9"/>
  <c r="D29" i="9" s="1"/>
  <c r="C62" i="4"/>
  <c r="E28" i="9"/>
  <c r="E29" i="9" s="1"/>
  <c r="D62" i="4"/>
  <c r="F28" i="9"/>
  <c r="F29" i="9" s="1"/>
  <c r="E62" i="4"/>
  <c r="G28" i="9"/>
  <c r="G29" i="9" s="1"/>
  <c r="F62" i="4"/>
  <c r="H28" i="9"/>
  <c r="H29" i="9" s="1"/>
  <c r="G62" i="4"/>
  <c r="I28" i="9"/>
  <c r="I29" i="9" s="1"/>
  <c r="H62" i="4"/>
  <c r="J28" i="9"/>
  <c r="J29" i="9" s="1"/>
  <c r="I62" i="4"/>
  <c r="K28" i="9"/>
  <c r="K29" i="9" s="1"/>
  <c r="J62" i="4"/>
  <c r="L28" i="9"/>
  <c r="L29" i="9" s="1"/>
  <c r="K62" i="4"/>
  <c r="M28" i="9"/>
  <c r="M29" i="9" s="1"/>
  <c r="L62" i="4"/>
  <c r="N28" i="9"/>
  <c r="N29" i="9" s="1"/>
  <c r="M62" i="4"/>
  <c r="C35" i="9"/>
  <c r="C36" i="9" s="1"/>
  <c r="B63" i="4"/>
  <c r="D35" i="9"/>
  <c r="D36" i="9" s="1"/>
  <c r="C63" i="4"/>
  <c r="E35" i="9"/>
  <c r="E36" i="9" s="1"/>
  <c r="D63" i="4"/>
  <c r="F35" i="9"/>
  <c r="F36" i="9" s="1"/>
  <c r="E63" i="4"/>
  <c r="G35" i="9"/>
  <c r="G36" i="9" s="1"/>
  <c r="F63" i="4"/>
  <c r="H35" i="9"/>
  <c r="H36" i="9" s="1"/>
  <c r="G63" i="4"/>
  <c r="I35" i="9"/>
  <c r="I36" i="9" s="1"/>
  <c r="H63" i="4"/>
  <c r="J35" i="9"/>
  <c r="J36" i="9" s="1"/>
  <c r="I63" i="4"/>
  <c r="K35" i="9"/>
  <c r="K36" i="9" s="1"/>
  <c r="J63" i="4"/>
  <c r="L35" i="9"/>
  <c r="L36" i="9" s="1"/>
  <c r="K63" i="4"/>
  <c r="M35" i="9"/>
  <c r="M36" i="9" s="1"/>
  <c r="L63" i="4"/>
  <c r="N35" i="9"/>
  <c r="N36" i="9" s="1"/>
  <c r="M63" i="4"/>
  <c r="D7" i="7"/>
  <c r="D8" i="7" s="1"/>
  <c r="C27" i="4"/>
  <c r="C26" i="4"/>
  <c r="B27" i="4"/>
  <c r="B26" i="4"/>
  <c r="B22" i="4"/>
  <c r="N22" i="4" s="1"/>
  <c r="B23" i="4"/>
  <c r="N23" i="4" s="1"/>
  <c r="B4" i="4"/>
  <c r="B3" i="4"/>
  <c r="E91" i="3"/>
  <c r="D91" i="3"/>
  <c r="E102" i="3"/>
  <c r="D102" i="3"/>
  <c r="B82" i="3"/>
  <c r="B87" i="3"/>
  <c r="D88" i="3"/>
  <c r="E88" i="3"/>
  <c r="D89" i="3"/>
  <c r="E89" i="3"/>
  <c r="D90" i="3"/>
  <c r="E90" i="3"/>
  <c r="D92" i="3"/>
  <c r="E92" i="3"/>
  <c r="B98" i="3"/>
  <c r="B4" i="3"/>
  <c r="B99" i="3"/>
  <c r="B100" i="3"/>
  <c r="B101" i="3"/>
  <c r="B103" i="3"/>
  <c r="N21" i="4"/>
  <c r="D7" i="5"/>
  <c r="D8" i="5" s="1"/>
  <c r="E7" i="5"/>
  <c r="E8" i="5" s="1"/>
  <c r="F7" i="5"/>
  <c r="F8" i="5" s="1"/>
  <c r="G7" i="5"/>
  <c r="G8" i="5" s="1"/>
  <c r="H7" i="5"/>
  <c r="H8" i="5" s="1"/>
  <c r="I7" i="5"/>
  <c r="I8" i="5" s="1"/>
  <c r="J7" i="5"/>
  <c r="J8" i="5" s="1"/>
  <c r="K7" i="5"/>
  <c r="K8" i="5" s="1"/>
  <c r="L7" i="5"/>
  <c r="L8" i="5" s="1"/>
  <c r="M7" i="5"/>
  <c r="M8" i="5" s="1"/>
  <c r="N7" i="5"/>
  <c r="N8" i="5" s="1"/>
  <c r="C7" i="6"/>
  <c r="C8" i="6" s="1"/>
  <c r="D7" i="6"/>
  <c r="D8" i="6" s="1"/>
  <c r="E7" i="6"/>
  <c r="E8" i="6" s="1"/>
  <c r="F7" i="6"/>
  <c r="F8" i="6" s="1"/>
  <c r="G7" i="6"/>
  <c r="G8" i="6" s="1"/>
  <c r="H7" i="6"/>
  <c r="H8" i="6" s="1"/>
  <c r="I7" i="6"/>
  <c r="I8" i="6" s="1"/>
  <c r="J7" i="6"/>
  <c r="J8" i="6" s="1"/>
  <c r="K7" i="6"/>
  <c r="K8" i="6" s="1"/>
  <c r="L7" i="6"/>
  <c r="L8" i="6" s="1"/>
  <c r="M7" i="6"/>
  <c r="M8" i="6" s="1"/>
  <c r="N7" i="6"/>
  <c r="N8" i="6" s="1"/>
  <c r="E7" i="7"/>
  <c r="E8" i="7" s="1"/>
  <c r="F7" i="7"/>
  <c r="F8" i="7" s="1"/>
  <c r="G7" i="7"/>
  <c r="G8" i="7" s="1"/>
  <c r="H7" i="7"/>
  <c r="H8" i="7" s="1"/>
  <c r="I7" i="7"/>
  <c r="I8" i="7" s="1"/>
  <c r="J7" i="7"/>
  <c r="J8" i="7" s="1"/>
  <c r="K7" i="7"/>
  <c r="K8" i="7" s="1"/>
  <c r="L7" i="7"/>
  <c r="L8" i="7" s="1"/>
  <c r="M7" i="7"/>
  <c r="M8" i="7" s="1"/>
  <c r="N7" i="7"/>
  <c r="N8" i="7" s="1"/>
  <c r="D7" i="8"/>
  <c r="D8" i="8" s="1"/>
  <c r="E7" i="8"/>
  <c r="E8" i="8" s="1"/>
  <c r="F7" i="8"/>
  <c r="F8" i="8" s="1"/>
  <c r="G7" i="8"/>
  <c r="G8" i="8" s="1"/>
  <c r="H7" i="8"/>
  <c r="H8" i="8" s="1"/>
  <c r="I7" i="8"/>
  <c r="I8" i="8" s="1"/>
  <c r="J7" i="8"/>
  <c r="J8" i="8" s="1"/>
  <c r="K7" i="8"/>
  <c r="K8" i="8" s="1"/>
  <c r="L7" i="8"/>
  <c r="L8" i="8" s="1"/>
  <c r="M7" i="8"/>
  <c r="M8" i="8" s="1"/>
  <c r="N7" i="8"/>
  <c r="N8" i="8" s="1"/>
  <c r="C7" i="9"/>
  <c r="C8" i="9" s="1"/>
  <c r="D7" i="9"/>
  <c r="D8" i="9" s="1"/>
  <c r="E7" i="9"/>
  <c r="E8" i="9" s="1"/>
  <c r="F7" i="9"/>
  <c r="F8" i="9" s="1"/>
  <c r="G7" i="9"/>
  <c r="G8" i="9" s="1"/>
  <c r="H7" i="9"/>
  <c r="H8" i="9" s="1"/>
  <c r="I7" i="9"/>
  <c r="I8" i="9" s="1"/>
  <c r="J7" i="9"/>
  <c r="J8" i="9" s="1"/>
  <c r="K7" i="9"/>
  <c r="K8" i="9" s="1"/>
  <c r="L7" i="9"/>
  <c r="L8" i="9" s="1"/>
  <c r="M7" i="9"/>
  <c r="M8" i="9" s="1"/>
  <c r="N7" i="9"/>
  <c r="N8" i="9" s="1"/>
  <c r="C7" i="5"/>
  <c r="C7" i="7"/>
  <c r="C8" i="7" s="1"/>
  <c r="C98" i="6"/>
  <c r="C99" i="6" s="1"/>
  <c r="O95" i="6"/>
  <c r="C100" i="6"/>
  <c r="C101" i="6" s="1"/>
  <c r="O97" i="6"/>
  <c r="C91" i="6"/>
  <c r="C92" i="6" s="1"/>
  <c r="O88" i="6"/>
  <c r="C93" i="6"/>
  <c r="C94" i="6" s="1"/>
  <c r="O90" i="6"/>
  <c r="C84" i="6"/>
  <c r="C85" i="6" s="1"/>
  <c r="O81" i="6"/>
  <c r="C86" i="6"/>
  <c r="C87" i="6" s="1"/>
  <c r="O83" i="6"/>
  <c r="C14" i="6"/>
  <c r="C15" i="6" s="1"/>
  <c r="D14" i="6"/>
  <c r="D15" i="6" s="1"/>
  <c r="E14" i="6"/>
  <c r="E15" i="6" s="1"/>
  <c r="F14" i="6"/>
  <c r="F15" i="6" s="1"/>
  <c r="G14" i="6"/>
  <c r="G15" i="6" s="1"/>
  <c r="H14" i="6"/>
  <c r="H15" i="6" s="1"/>
  <c r="I14" i="6"/>
  <c r="I15" i="6" s="1"/>
  <c r="J14" i="6"/>
  <c r="J15" i="6" s="1"/>
  <c r="K14" i="6"/>
  <c r="K15" i="6" s="1"/>
  <c r="L14" i="6"/>
  <c r="L15" i="6" s="1"/>
  <c r="M14" i="6"/>
  <c r="M15" i="6" s="1"/>
  <c r="N14" i="6"/>
  <c r="N15" i="6" s="1"/>
  <c r="F157" i="2"/>
  <c r="F156" i="2"/>
  <c r="J161" i="2"/>
  <c r="F172" i="2"/>
  <c r="F171" i="2"/>
  <c r="J178" i="2"/>
  <c r="C8" i="5"/>
  <c r="D9" i="5"/>
  <c r="D10" i="5" s="1"/>
  <c r="C26" i="5"/>
  <c r="L26" i="5"/>
  <c r="K28" i="4"/>
  <c r="M26" i="5"/>
  <c r="N26" i="5"/>
  <c r="K26" i="5"/>
  <c r="J26" i="5"/>
  <c r="I26" i="5"/>
  <c r="H26" i="5"/>
  <c r="G26" i="5"/>
  <c r="F26" i="5"/>
  <c r="E26" i="5"/>
  <c r="N9" i="5"/>
  <c r="N10" i="5" s="1"/>
  <c r="D26" i="5"/>
  <c r="J9" i="5"/>
  <c r="J10" i="5" s="1"/>
  <c r="I9" i="5"/>
  <c r="I10" i="5" s="1"/>
  <c r="H9" i="5"/>
  <c r="H10" i="5" s="1"/>
  <c r="G9" i="5"/>
  <c r="G10" i="5" s="1"/>
  <c r="G28" i="4"/>
  <c r="H28" i="4"/>
  <c r="C10" i="5"/>
  <c r="I12" i="7"/>
  <c r="J40" i="9"/>
  <c r="B28" i="4"/>
  <c r="D103" i="3"/>
  <c r="E100" i="3"/>
  <c r="E99" i="3"/>
  <c r="D100" i="3"/>
  <c r="E98" i="3"/>
  <c r="D28" i="4"/>
  <c r="G12" i="7"/>
  <c r="H12" i="7"/>
  <c r="K40" i="9"/>
  <c r="O53" i="8"/>
  <c r="I28" i="4"/>
  <c r="J12" i="7"/>
  <c r="L12" i="7"/>
  <c r="O151" i="8"/>
  <c r="O55" i="8"/>
  <c r="G194" i="8"/>
  <c r="L40" i="9"/>
  <c r="L194" i="8"/>
  <c r="D12" i="7"/>
  <c r="F28" i="4"/>
  <c r="H40" i="9"/>
  <c r="C28" i="4"/>
  <c r="D194" i="8"/>
  <c r="M12" i="7"/>
  <c r="O41" i="6"/>
  <c r="F8" i="4"/>
  <c r="C53" i="3"/>
  <c r="O6" i="8"/>
  <c r="O39" i="6"/>
  <c r="O62" i="6"/>
  <c r="O69" i="8"/>
  <c r="O60" i="6"/>
  <c r="M40" i="9"/>
  <c r="E28" i="4"/>
  <c r="O13" i="6"/>
  <c r="H194" i="8"/>
  <c r="O41" i="8"/>
  <c r="O118" i="8"/>
  <c r="O11" i="6"/>
  <c r="O27" i="6"/>
  <c r="O34" i="6"/>
  <c r="I194" i="8"/>
  <c r="O39" i="8"/>
  <c r="O116" i="8"/>
  <c r="O137" i="8"/>
  <c r="O139" i="8"/>
  <c r="O146" i="8"/>
  <c r="O188" i="8"/>
  <c r="J194" i="8"/>
  <c r="O6" i="6"/>
  <c r="O25" i="6"/>
  <c r="O32" i="6"/>
  <c r="J28" i="4"/>
  <c r="K12" i="7"/>
  <c r="O25" i="8"/>
  <c r="O27" i="8"/>
  <c r="O34" i="8"/>
  <c r="O83" i="8"/>
  <c r="O144" i="8"/>
  <c r="O186" i="8"/>
  <c r="E101" i="3"/>
  <c r="O13" i="5"/>
  <c r="O4" i="6"/>
  <c r="K194" i="8"/>
  <c r="O32" i="8"/>
  <c r="O81" i="8"/>
  <c r="O104" i="8"/>
  <c r="O11" i="5"/>
  <c r="O48" i="6"/>
  <c r="M28" i="4"/>
  <c r="N12" i="7"/>
  <c r="O74" i="8"/>
  <c r="O76" i="8"/>
  <c r="O132" i="8"/>
  <c r="L28" i="4"/>
  <c r="O46" i="6"/>
  <c r="N194" i="8"/>
  <c r="O130" i="8"/>
  <c r="O111" i="6"/>
  <c r="O20" i="8"/>
  <c r="O97" i="8"/>
  <c r="O18" i="8"/>
  <c r="O95" i="8"/>
  <c r="I40" i="9"/>
  <c r="D99" i="3"/>
  <c r="O4" i="5"/>
  <c r="O6" i="5"/>
  <c r="O55" i="6"/>
  <c r="O13" i="8"/>
  <c r="O125" i="8"/>
  <c r="O153" i="8"/>
  <c r="O13" i="9"/>
  <c r="O20" i="5"/>
  <c r="E12" i="7"/>
  <c r="F194" i="8"/>
  <c r="O11" i="8"/>
  <c r="O123" i="8"/>
  <c r="O20" i="9"/>
  <c r="O18" i="5"/>
  <c r="O74" i="6"/>
  <c r="O46" i="8"/>
  <c r="O48" i="8"/>
  <c r="O88" i="8"/>
  <c r="O172" i="8"/>
  <c r="O18" i="9"/>
  <c r="O60" i="8"/>
  <c r="O160" i="8"/>
  <c r="E40" i="9"/>
  <c r="O53" i="6"/>
  <c r="F12" i="7"/>
  <c r="C194" i="8"/>
  <c r="O4" i="8"/>
  <c r="O158" i="8"/>
  <c r="F40" i="9"/>
  <c r="D101" i="3"/>
  <c r="G40" i="9"/>
  <c r="D98" i="3"/>
  <c r="E194" i="8"/>
  <c r="N40" i="9"/>
  <c r="O27" i="9"/>
  <c r="O69" i="6"/>
  <c r="K8" i="4"/>
  <c r="O25" i="9"/>
  <c r="E103" i="3"/>
  <c r="O67" i="6"/>
  <c r="O76" i="6"/>
  <c r="O90" i="8"/>
  <c r="O167" i="8"/>
  <c r="O181" i="8"/>
  <c r="O6" i="9"/>
  <c r="O11" i="9"/>
  <c r="C28" i="3"/>
  <c r="O111" i="8"/>
  <c r="O165" i="8"/>
  <c r="O179" i="8"/>
  <c r="O4" i="9"/>
  <c r="C40" i="9"/>
  <c r="O34" i="9"/>
  <c r="M194" i="8"/>
  <c r="O109" i="8"/>
  <c r="D40" i="9"/>
  <c r="O32" i="9"/>
  <c r="O20" i="6"/>
  <c r="O6" i="7"/>
  <c r="O67" i="8"/>
  <c r="C64" i="3"/>
  <c r="O18" i="6"/>
  <c r="O4" i="7"/>
  <c r="C12" i="7"/>
  <c r="O62" i="8"/>
  <c r="O109" i="6"/>
  <c r="O102" i="8"/>
  <c r="O174" i="8"/>
  <c r="D44" i="10" l="1"/>
  <c r="D43" i="10" s="1"/>
  <c r="AJ43" i="10"/>
  <c r="F44" i="10"/>
  <c r="F43" i="10" s="1"/>
  <c r="G44" i="10"/>
  <c r="G43" i="10" s="1"/>
  <c r="M25" i="4"/>
  <c r="L25" i="4"/>
  <c r="K25" i="4"/>
  <c r="J25" i="4"/>
  <c r="I25" i="4"/>
  <c r="H25" i="4"/>
  <c r="G25" i="4"/>
  <c r="F25" i="4"/>
  <c r="E25" i="4"/>
  <c r="D25" i="4"/>
  <c r="C25" i="4"/>
  <c r="B25" i="4"/>
  <c r="J64" i="3"/>
  <c r="D64" i="3"/>
  <c r="E64" i="3"/>
  <c r="F64" i="3" s="1"/>
  <c r="J28" i="3"/>
  <c r="D28" i="3"/>
  <c r="E28" i="3"/>
  <c r="F28" i="3" s="1"/>
  <c r="H8" i="4"/>
  <c r="J53" i="3"/>
  <c r="D53" i="3"/>
  <c r="E53" i="3"/>
  <c r="F53" i="3" s="1"/>
  <c r="J8" i="4"/>
  <c r="I8" i="4"/>
  <c r="C40" i="3"/>
  <c r="C65" i="3"/>
  <c r="E8" i="4"/>
  <c r="C41" i="3"/>
  <c r="M8" i="4"/>
  <c r="C52" i="3"/>
  <c r="C26" i="3"/>
  <c r="L8" i="4"/>
  <c r="C60" i="3" s="1"/>
  <c r="B8" i="4"/>
  <c r="G8" i="4"/>
  <c r="C29" i="3"/>
  <c r="C38" i="3"/>
  <c r="J26" i="3"/>
  <c r="D26" i="3"/>
  <c r="E26" i="3"/>
  <c r="F26" i="3" s="1"/>
  <c r="C8" i="4"/>
  <c r="J60" i="3"/>
  <c r="D60" i="3"/>
  <c r="E60" i="3"/>
  <c r="F60" i="3" s="1"/>
  <c r="C36" i="3"/>
  <c r="D8" i="4"/>
  <c r="C24" i="3" s="1"/>
  <c r="C62" i="3"/>
  <c r="J62" i="3"/>
  <c r="D62" i="3"/>
  <c r="E62" i="3"/>
  <c r="F62" i="3" s="1"/>
  <c r="C50" i="3"/>
  <c r="J50" i="3"/>
  <c r="D50" i="3"/>
  <c r="E50" i="3"/>
  <c r="F50" i="3" s="1"/>
  <c r="J38" i="3"/>
  <c r="D38" i="3"/>
  <c r="E38" i="3"/>
  <c r="F38" i="3" s="1"/>
  <c r="J36" i="3"/>
  <c r="D36" i="3"/>
  <c r="E36" i="3"/>
  <c r="F36" i="3" s="1"/>
  <c r="J24" i="3"/>
  <c r="D24" i="3"/>
  <c r="E24" i="3"/>
  <c r="F24" i="3" s="1"/>
  <c r="D87" i="3"/>
  <c r="E87" i="3"/>
  <c r="B93" i="3"/>
  <c r="B104" i="3"/>
  <c r="D104" i="3" s="1"/>
  <c r="N10" i="4"/>
  <c r="J179" i="2"/>
  <c r="J180" i="2" s="1"/>
  <c r="J162" i="2"/>
  <c r="J163" i="2" s="1"/>
  <c r="O26" i="5"/>
  <c r="I64" i="4"/>
  <c r="N37" i="4"/>
  <c r="E64" i="4"/>
  <c r="N49" i="4"/>
  <c r="N40" i="4"/>
  <c r="N62" i="4"/>
  <c r="G64" i="4"/>
  <c r="D57" i="4"/>
  <c r="N36" i="4"/>
  <c r="N28" i="4"/>
  <c r="J13" i="3" s="1"/>
  <c r="C13" i="3" s="1"/>
  <c r="C78" i="3" s="1"/>
  <c r="N15" i="4"/>
  <c r="N35" i="4"/>
  <c r="N33" i="4"/>
  <c r="J64" i="4"/>
  <c r="N47" i="4"/>
  <c r="N45" i="4"/>
  <c r="M64" i="4"/>
  <c r="M57" i="4"/>
  <c r="N32" i="4"/>
  <c r="N34" i="4"/>
  <c r="N53" i="4"/>
  <c r="N31" i="4"/>
  <c r="L57" i="4"/>
  <c r="H64" i="4"/>
  <c r="N38" i="4"/>
  <c r="N14" i="4"/>
  <c r="F64" i="4"/>
  <c r="N4" i="4"/>
  <c r="N44" i="4"/>
  <c r="N48" i="4"/>
  <c r="N18" i="4"/>
  <c r="D64" i="4"/>
  <c r="G57" i="4"/>
  <c r="N20" i="4"/>
  <c r="N43" i="4"/>
  <c r="N55" i="4"/>
  <c r="L64" i="4"/>
  <c r="N50" i="4"/>
  <c r="N56" i="4"/>
  <c r="E57" i="4"/>
  <c r="N51" i="4"/>
  <c r="N41" i="4"/>
  <c r="N12" i="4"/>
  <c r="N54" i="4"/>
  <c r="K64" i="4"/>
  <c r="N19" i="4"/>
  <c r="N61" i="4"/>
  <c r="N5" i="4"/>
  <c r="B64" i="4"/>
  <c r="N59" i="4"/>
  <c r="F57" i="4"/>
  <c r="K57" i="4"/>
  <c r="C63" i="3" s="1"/>
  <c r="C57" i="4"/>
  <c r="J57" i="4"/>
  <c r="I57" i="4"/>
  <c r="O194" i="8"/>
  <c r="H57" i="4"/>
  <c r="C51" i="3" s="1"/>
  <c r="N11" i="4"/>
  <c r="O117" i="6"/>
  <c r="O12" i="7"/>
  <c r="N30" i="4"/>
  <c r="B57" i="4"/>
  <c r="C27" i="3" s="1"/>
  <c r="N46" i="4"/>
  <c r="C64" i="4"/>
  <c r="N39" i="4"/>
  <c r="N63" i="4"/>
  <c r="J16" i="3" s="1"/>
  <c r="N52" i="4"/>
  <c r="N17" i="4"/>
  <c r="N27" i="4"/>
  <c r="O40" i="9"/>
  <c r="C25" i="3"/>
  <c r="N42" i="4"/>
  <c r="N13" i="4"/>
  <c r="E104" i="3"/>
  <c r="N16" i="4"/>
  <c r="N6" i="4"/>
  <c r="N60" i="4"/>
  <c r="J15" i="3" s="1"/>
  <c r="N7" i="4"/>
  <c r="J27" i="3" l="1"/>
  <c r="D27" i="3"/>
  <c r="E27" i="3"/>
  <c r="F27" i="3" s="1"/>
  <c r="J51" i="3"/>
  <c r="D51" i="3"/>
  <c r="E51" i="3"/>
  <c r="F51" i="3" s="1"/>
  <c r="J63" i="3"/>
  <c r="D63" i="3"/>
  <c r="E63" i="3"/>
  <c r="F63" i="3" s="1"/>
  <c r="E65" i="4"/>
  <c r="C39" i="3"/>
  <c r="J29" i="3"/>
  <c r="D29" i="3"/>
  <c r="E29" i="3"/>
  <c r="F29" i="3" s="1"/>
  <c r="J52" i="3"/>
  <c r="D52" i="3"/>
  <c r="E52" i="3"/>
  <c r="F52" i="3" s="1"/>
  <c r="J41" i="3"/>
  <c r="D41" i="3"/>
  <c r="E41" i="3"/>
  <c r="F41" i="3" s="1"/>
  <c r="J65" i="3"/>
  <c r="D65" i="3"/>
  <c r="E65" i="3"/>
  <c r="F65" i="3" s="1"/>
  <c r="J40" i="3"/>
  <c r="D40" i="3"/>
  <c r="E40" i="3"/>
  <c r="F40" i="3" s="1"/>
  <c r="L53" i="3"/>
  <c r="M53" i="3" s="1"/>
  <c r="K53" i="3"/>
  <c r="C48" i="3"/>
  <c r="L28" i="3"/>
  <c r="M28" i="3" s="1"/>
  <c r="K28" i="3"/>
  <c r="L64" i="3"/>
  <c r="M64" i="3" s="1"/>
  <c r="K64" i="3"/>
  <c r="L26" i="3"/>
  <c r="M26" i="3" s="1"/>
  <c r="K26" i="3"/>
  <c r="C61" i="3"/>
  <c r="J61" i="3"/>
  <c r="D61" i="3"/>
  <c r="E61" i="3"/>
  <c r="F61" i="3" s="1"/>
  <c r="C66" i="3"/>
  <c r="L60" i="3"/>
  <c r="M60" i="3" s="1"/>
  <c r="K60" i="3"/>
  <c r="N8" i="4"/>
  <c r="D66" i="3"/>
  <c r="E66" i="3"/>
  <c r="F66" i="3" s="1"/>
  <c r="J66" i="3"/>
  <c r="L62" i="3"/>
  <c r="M62" i="3" s="1"/>
  <c r="K62" i="3"/>
  <c r="L50" i="3"/>
  <c r="M50" i="3" s="1"/>
  <c r="K50" i="3"/>
  <c r="L38" i="3"/>
  <c r="M38" i="3" s="1"/>
  <c r="K38" i="3"/>
  <c r="L36" i="3"/>
  <c r="M36" i="3" s="1"/>
  <c r="K36" i="3"/>
  <c r="L24" i="3"/>
  <c r="M24" i="3" s="1"/>
  <c r="K24" i="3"/>
  <c r="C49" i="3"/>
  <c r="J49" i="3"/>
  <c r="D49" i="3"/>
  <c r="E49" i="3"/>
  <c r="F49" i="3" s="1"/>
  <c r="C54" i="3"/>
  <c r="C37" i="3"/>
  <c r="J25" i="3"/>
  <c r="D25" i="3"/>
  <c r="E25" i="3"/>
  <c r="F25" i="3" s="1"/>
  <c r="C30" i="3"/>
  <c r="C15" i="3"/>
  <c r="L15" i="3"/>
  <c r="M15" i="3" s="1"/>
  <c r="K15" i="3"/>
  <c r="D93" i="3"/>
  <c r="E93" i="3"/>
  <c r="J182" i="2"/>
  <c r="K182" i="2" s="1"/>
  <c r="C65" i="4"/>
  <c r="F65" i="4"/>
  <c r="H65" i="4"/>
  <c r="D65" i="4"/>
  <c r="K65" i="4"/>
  <c r="J65" i="4"/>
  <c r="L65" i="4"/>
  <c r="N57" i="4"/>
  <c r="J14" i="3" s="1"/>
  <c r="C14" i="3" s="1"/>
  <c r="G65" i="4"/>
  <c r="M65" i="4"/>
  <c r="N25" i="4"/>
  <c r="J12" i="3" s="1"/>
  <c r="C12" i="3" s="1"/>
  <c r="C77" i="3" s="1"/>
  <c r="N64" i="4"/>
  <c r="C16" i="3" s="1"/>
  <c r="C81" i="3" s="1"/>
  <c r="K13" i="3"/>
  <c r="L13" i="3"/>
  <c r="M13" i="3" s="1"/>
  <c r="D13" i="3"/>
  <c r="E13" i="3"/>
  <c r="F13" i="3" s="1"/>
  <c r="D78" i="3"/>
  <c r="E78" i="3"/>
  <c r="J11" i="3"/>
  <c r="B65" i="4"/>
  <c r="K14" i="3"/>
  <c r="L14" i="3"/>
  <c r="M14" i="3" s="1"/>
  <c r="I65" i="4"/>
  <c r="J48" i="3" l="1"/>
  <c r="D48" i="3"/>
  <c r="E48" i="3"/>
  <c r="F48" i="3" s="1"/>
  <c r="L40" i="3"/>
  <c r="M40" i="3" s="1"/>
  <c r="K40" i="3"/>
  <c r="L65" i="3"/>
  <c r="M65" i="3" s="1"/>
  <c r="K65" i="3"/>
  <c r="L41" i="3"/>
  <c r="M41" i="3" s="1"/>
  <c r="K41" i="3"/>
  <c r="L52" i="3"/>
  <c r="M52" i="3" s="1"/>
  <c r="K52" i="3"/>
  <c r="L29" i="3"/>
  <c r="M29" i="3" s="1"/>
  <c r="K29" i="3"/>
  <c r="J39" i="3"/>
  <c r="D39" i="3"/>
  <c r="E39" i="3"/>
  <c r="F39" i="3" s="1"/>
  <c r="L63" i="3"/>
  <c r="M63" i="3" s="1"/>
  <c r="K63" i="3"/>
  <c r="L51" i="3"/>
  <c r="M51" i="3" s="1"/>
  <c r="K51" i="3"/>
  <c r="L27" i="3"/>
  <c r="M27" i="3" s="1"/>
  <c r="K27" i="3"/>
  <c r="L61" i="3"/>
  <c r="M61" i="3" s="1"/>
  <c r="K61" i="3"/>
  <c r="L66" i="3"/>
  <c r="M66" i="3" s="1"/>
  <c r="K66" i="3"/>
  <c r="D54" i="3"/>
  <c r="E54" i="3"/>
  <c r="F54" i="3" s="1"/>
  <c r="J54" i="3"/>
  <c r="L49" i="3"/>
  <c r="M49" i="3" s="1"/>
  <c r="K49" i="3"/>
  <c r="J37" i="3"/>
  <c r="D37" i="3"/>
  <c r="E37" i="3"/>
  <c r="F37" i="3" s="1"/>
  <c r="C42" i="3"/>
  <c r="D30" i="3"/>
  <c r="E30" i="3"/>
  <c r="F30" i="3" s="1"/>
  <c r="J30" i="3"/>
  <c r="L25" i="3"/>
  <c r="M25" i="3" s="1"/>
  <c r="K25" i="3"/>
  <c r="E15" i="3"/>
  <c r="F15" i="3" s="1"/>
  <c r="D15" i="3"/>
  <c r="C80" i="3"/>
  <c r="J17" i="3"/>
  <c r="C11" i="3"/>
  <c r="C79" i="3"/>
  <c r="E79" i="3" s="1"/>
  <c r="E14" i="3"/>
  <c r="F14" i="3" s="1"/>
  <c r="L16" i="3"/>
  <c r="M16" i="3" s="1"/>
  <c r="K16" i="3"/>
  <c r="N65" i="4"/>
  <c r="E4" i="3" s="1"/>
  <c r="F4" i="3" s="1"/>
  <c r="D79" i="3"/>
  <c r="D14" i="3"/>
  <c r="E77" i="3"/>
  <c r="D77" i="3"/>
  <c r="E12" i="3"/>
  <c r="F12" i="3" s="1"/>
  <c r="D12" i="3"/>
  <c r="L12" i="3"/>
  <c r="M12" i="3" s="1"/>
  <c r="K12" i="3"/>
  <c r="L11" i="3"/>
  <c r="M11" i="3" s="1"/>
  <c r="K11" i="3"/>
  <c r="E16" i="3"/>
  <c r="F16" i="3" s="1"/>
  <c r="D16" i="3"/>
  <c r="E81" i="3"/>
  <c r="D81" i="3"/>
  <c r="L39" i="3" l="1"/>
  <c r="M39" i="3" s="1"/>
  <c r="K39" i="3"/>
  <c r="L48" i="3"/>
  <c r="M48" i="3" s="1"/>
  <c r="K48" i="3"/>
  <c r="L54" i="3"/>
  <c r="M54" i="3" s="1"/>
  <c r="K54" i="3"/>
  <c r="D42" i="3"/>
  <c r="E42" i="3"/>
  <c r="F42" i="3" s="1"/>
  <c r="J42" i="3"/>
  <c r="L37" i="3"/>
  <c r="M37" i="3" s="1"/>
  <c r="K37" i="3"/>
  <c r="L30" i="3"/>
  <c r="M30" i="3" s="1"/>
  <c r="K30" i="3"/>
  <c r="E80" i="3"/>
  <c r="D80" i="3"/>
  <c r="C76" i="3"/>
  <c r="C17" i="3"/>
  <c r="E11" i="3"/>
  <c r="F11" i="3" s="1"/>
  <c r="D11" i="3"/>
  <c r="L17" i="3"/>
  <c r="M17" i="3" s="1"/>
  <c r="K17" i="3"/>
  <c r="L42" i="3" l="1"/>
  <c r="M42" i="3" s="1"/>
  <c r="K42" i="3"/>
  <c r="E17" i="3"/>
  <c r="F17" i="3" s="1"/>
  <c r="D17" i="3"/>
  <c r="C82" i="3"/>
  <c r="E76" i="3"/>
  <c r="D76" i="3"/>
  <c r="D82" i="3" l="1"/>
  <c r="E8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tc={36083320-1250-4524-BC90-E5BB71D60308}</author>
  </authors>
  <commentList>
    <comment ref="F16" authorId="0" shapeId="0" xr:uid="{36083320-1250-4524-BC90-E5BB71D60308}">
      <text>
        <t>[Threaded comment]
Your version of Excel allows you to read this threaded comment; however, any edits to it will get removed if the file is opened in a newer version of Excel. Learn more: https://go.microsoft.com/fwlink/?linkid=870924
Comment:
    Commercial missed negative rev share from William Hill for March which swing about $150K in revenue.</t>
      </text>
    </comment>
  </commentList>
</comments>
</file>

<file path=xl/sharedStrings.xml><?xml version="1.0" encoding="utf-8"?>
<sst xmlns="http://schemas.openxmlformats.org/spreadsheetml/2006/main" count="1327" uniqueCount="273">
  <si>
    <t>2026 NA Revenue Tracking — User Guide</t>
  </si>
  <si>
    <t>Questions? Contact Pedro</t>
  </si>
  <si>
    <t>HOW IT WORKS</t>
  </si>
  <si>
    <t>Forecast Input</t>
  </si>
  <si>
    <t>The only place anyone types. Vertical owners update forecast weekly and  actuals monthly.</t>
  </si>
  <si>
    <t>Vertical tabs (Rotowire, Sports Affiliate, etc.)</t>
  </si>
  <si>
    <t>Read-only summaries. Pull from Forecast Input automatically. Show full detail + variances.</t>
  </si>
  <si>
    <t>Executive Dashboard</t>
  </si>
  <si>
    <t>Full-year snapshot + traffic light attainment. Auto-updates.</t>
  </si>
  <si>
    <t>VERTICAL OWNERS — WEEKLY (BY WEDNESDAY)</t>
  </si>
  <si>
    <t>Step 1</t>
  </si>
  <si>
    <t>Go to Forecast Input tab.</t>
  </si>
  <si>
    <t>Step 2</t>
  </si>
  <si>
    <t>Find your vertical section and the 🟡 yellow Forecast rows. Update each open month with your best current estimate.</t>
  </si>
  <si>
    <t>Step 3</t>
  </si>
  <si>
    <t>Save and notify #sds-budget-owners Slack channel</t>
  </si>
  <si>
    <t>Step 4</t>
  </si>
  <si>
    <t>Enter confirmed Actuals in the 🟦 teal rows on the Forecast Input tab after each month closes.</t>
  </si>
  <si>
    <t>DEFINITIONS</t>
  </si>
  <si>
    <t>🟡 Forecast (yellow)</t>
  </si>
  <si>
    <t>Owner's weekly best estimate. Update every Wednesday.</t>
  </si>
  <si>
    <t>🟦 Actual 26' (teal)</t>
  </si>
  <si>
    <t>Confirmed 2026 revenue entered after each month closes.</t>
  </si>
  <si>
    <t>Actual 25'</t>
  </si>
  <si>
    <t>Prior year actuals — locked reference, not editable.</t>
  </si>
  <si>
    <t>Budget</t>
  </si>
  <si>
    <t>Annual budget set in Dec 2025. Locked</t>
  </si>
  <si>
    <t>Target</t>
  </si>
  <si>
    <t>Stretch goal. Locked.</t>
  </si>
  <si>
    <t>Run-Rate ★</t>
  </si>
  <si>
    <t>Closed Month Actuals + Forecast. Directional only until more months confirm.</t>
  </si>
  <si>
    <t>🟢 On Track</t>
  </si>
  <si>
    <t>Forecast ≥ Budget.</t>
  </si>
  <si>
    <t>🟡 Watch</t>
  </si>
  <si>
    <t>Forecast within 10% below Budget.</t>
  </si>
  <si>
    <t>🔴 At Risk</t>
  </si>
  <si>
    <t>Forecast more than 10% below Budget — escalate.</t>
  </si>
  <si>
    <t>2026 SDS Revenue — Forecast Input</t>
  </si>
  <si>
    <t>🟡 Yellow = Forecast (vertical owners — update weekly by Wednesday)   ·   🟦 Teal = Actuals (vertical owners — enter after month close)</t>
  </si>
  <si>
    <t>VERTICAL</t>
  </si>
  <si>
    <t>SUB-LINE</t>
  </si>
  <si>
    <t>METRIC</t>
  </si>
  <si>
    <t>Jan</t>
  </si>
  <si>
    <t>Feb</t>
  </si>
  <si>
    <t>Mar</t>
  </si>
  <si>
    <t>Apr</t>
  </si>
  <si>
    <t>May</t>
  </si>
  <si>
    <t>Jun</t>
  </si>
  <si>
    <t>Jul</t>
  </si>
  <si>
    <t>Aug</t>
  </si>
  <si>
    <t>Sep</t>
  </si>
  <si>
    <t>Oct</t>
  </si>
  <si>
    <t>Nov</t>
  </si>
  <si>
    <t>Dec</t>
  </si>
  <si>
    <t>FULL YEAR</t>
  </si>
  <si>
    <t>ROTOWIRE</t>
  </si>
  <si>
    <t>Rotowire</t>
  </si>
  <si>
    <t>B2C Subs</t>
  </si>
  <si>
    <t>Actual 26 🟦</t>
  </si>
  <si>
    <t>Forecast 🟡</t>
  </si>
  <si>
    <t>Advertising</t>
  </si>
  <si>
    <t>B2B Content</t>
  </si>
  <si>
    <t>Feb26 is a bit low because finance did not include DraftKings deal here. Getting to the bottom of why.</t>
  </si>
  <si>
    <t>Rotowire Affiliate</t>
  </si>
  <si>
    <t>Adjusted a few months in the summer down a bit as well as the last three months of the year. Nothing dramatic, just learning more about the seasonality of a site like RotoWire.</t>
  </si>
  <si>
    <t>SPORTS AFFILIATE</t>
  </si>
  <si>
    <t>Sports Affiliate</t>
  </si>
  <si>
    <t>Bookies US</t>
  </si>
  <si>
    <t>Bookies UK</t>
  </si>
  <si>
    <t>Bookies IE</t>
  </si>
  <si>
    <t>Bookies IN</t>
  </si>
  <si>
    <t>Bookies CA</t>
  </si>
  <si>
    <t>Bookies AU</t>
  </si>
  <si>
    <t>Bookies NZ</t>
  </si>
  <si>
    <t>Bookies MX</t>
  </si>
  <si>
    <t>Bookies NG</t>
  </si>
  <si>
    <t>Not market we are focusing on. Pulling out of mkt.</t>
  </si>
  <si>
    <t>Bookies NL</t>
  </si>
  <si>
    <t>Bookies BR</t>
  </si>
  <si>
    <t>Most likely out of market by end of Q1</t>
  </si>
  <si>
    <t>Bookies GX</t>
  </si>
  <si>
    <t>Bookies ES</t>
  </si>
  <si>
    <t>Bookmakers</t>
  </si>
  <si>
    <t>BetSync</t>
  </si>
  <si>
    <t>Bet Sync</t>
  </si>
  <si>
    <t>PARTNERSHIPS</t>
  </si>
  <si>
    <t>Partnerships</t>
  </si>
  <si>
    <t>GAN Affiliate</t>
  </si>
  <si>
    <t>I reduced almost every month $50-100k due to the recent fluctuations in rankings persisting. As mentioned, this volatile business has cratered underneath us before and we can't do as much to combat the trends when we don't control the product so need to temper our expectations.</t>
  </si>
  <si>
    <t>LOCAL</t>
  </si>
  <si>
    <t>Local</t>
  </si>
  <si>
    <t>BetArizona</t>
  </si>
  <si>
    <t>BetVirginia</t>
  </si>
  <si>
    <t>BetKansas</t>
  </si>
  <si>
    <t>BetOhio</t>
  </si>
  <si>
    <t>BetKentucky</t>
  </si>
  <si>
    <t>BetMassachusetts</t>
  </si>
  <si>
    <t>BetTennessee</t>
  </si>
  <si>
    <t>LouisianaBets</t>
  </si>
  <si>
    <t>BetColorado</t>
  </si>
  <si>
    <t>IndianaBets</t>
  </si>
  <si>
    <t>IowaBets</t>
  </si>
  <si>
    <t>EmpireStakes</t>
  </si>
  <si>
    <t>IllinoisBet</t>
  </si>
  <si>
    <t>BetMaryland</t>
  </si>
  <si>
    <t>PennStakes</t>
  </si>
  <si>
    <t>BetMichigan</t>
  </si>
  <si>
    <t>FloridaBet</t>
  </si>
  <si>
    <t>BetCarolina</t>
  </si>
  <si>
    <t>BetTexas</t>
  </si>
  <si>
    <t>BetCalifornia</t>
  </si>
  <si>
    <t>BetGeorgia</t>
  </si>
  <si>
    <t>MinnesotaBets</t>
  </si>
  <si>
    <t>BetMissouri</t>
  </si>
  <si>
    <t>OntarioBets</t>
  </si>
  <si>
    <t>BetCanada</t>
  </si>
  <si>
    <t>ApuestaMexico</t>
  </si>
  <si>
    <t>Brasilpostas</t>
  </si>
  <si>
    <t>ODDS / OPTICODDS</t>
  </si>
  <si>
    <t>Odds / OpticOdds</t>
  </si>
  <si>
    <t>Subscriptions (OJ + DGF)</t>
  </si>
  <si>
    <t>DGF Affiliate</t>
  </si>
  <si>
    <t>OJ Affiliate</t>
  </si>
  <si>
    <t>Optic Rev Share</t>
  </si>
  <si>
    <t>OpticOdds</t>
  </si>
  <si>
    <t>WEB</t>
  </si>
  <si>
    <t>ChartMogul&gt;Reports&gt;Gross Cash Flow&gt;</t>
  </si>
  <si>
    <t>Monthlies</t>
  </si>
  <si>
    <t>Ballpark breakdown of April sales</t>
  </si>
  <si>
    <t>Monthly</t>
  </si>
  <si>
    <t>Six-month</t>
  </si>
  <si>
    <t>Six Months</t>
  </si>
  <si>
    <t>Yearlies</t>
  </si>
  <si>
    <t>Yearly</t>
  </si>
  <si>
    <t>Ballpark accrual factor</t>
  </si>
  <si>
    <t xml:space="preserve"> </t>
  </si>
  <si>
    <t>Apr2026</t>
  </si>
  <si>
    <t>Current estimate for Apr26 (as of 4.15.26)</t>
  </si>
  <si>
    <t>Already accrued from previous 12 months</t>
  </si>
  <si>
    <t>Apr26 sales on cash basis (first 15 days) + estimate last 15 days</t>
  </si>
  <si>
    <t>assumes 8 percent growth for last 15 days of April</t>
  </si>
  <si>
    <t>Accrual of Apr26 sales in row above landing in Apr26</t>
  </si>
  <si>
    <t>Estimated negative factors of 1 percent</t>
  </si>
  <si>
    <t>Sum of current estimate for Apr26 (Row 159 + Row 161 - Row 162)</t>
  </si>
  <si>
    <t>APPS</t>
  </si>
  <si>
    <t>Sum of current estimate for Apr26 (J176+J178-J179)</t>
  </si>
  <si>
    <t>2026 SDS Revenue Forecast</t>
  </si>
  <si>
    <t>FULL-YEAR SUMMARY  —  ALL VERTICALS COMBINED</t>
  </si>
  <si>
    <t>2025 Actuals</t>
  </si>
  <si>
    <t>2026 Budget</t>
  </si>
  <si>
    <t>2026 Target</t>
  </si>
  <si>
    <t>2026 Forecast</t>
  </si>
  <si>
    <t>26F vs 25A</t>
  </si>
  <si>
    <t>Total SDS</t>
  </si>
  <si>
    <t>Forecast = Actuals + Forecast  ·  Updates automatically as actuals are entered</t>
  </si>
  <si>
    <t>BUDGET vs FORECAST ANNUAL</t>
  </si>
  <si>
    <t>TARGET vs FORECAST</t>
  </si>
  <si>
    <t>Comments</t>
  </si>
  <si>
    <t>Are we on track to hit our committed plan?</t>
  </si>
  <si>
    <t>Based on actuals + forecasted months</t>
  </si>
  <si>
    <t>Forecast</t>
  </si>
  <si>
    <t>$ Difference</t>
  </si>
  <si>
    <t>% Diff</t>
  </si>
  <si>
    <t>STATUS</t>
  </si>
  <si>
    <t>Big boost in affiliate revenue continues. Subs also on a steady positive trend in early March, a good start considering sub growth is typically higher in the back half of the month (more renewals in system). Affiliate 3/16:  Commercial reported a solid first half of the month so upped the the forecasts for the summer months a bit as I feel the floor continues to rise even with sports out of season.</t>
  </si>
  <si>
    <t>Bookies</t>
  </si>
  <si>
    <t>4/15 UK saw large negative rev share hit from William Hill in March. Lowering UK slightly, but seemingly a one-off.</t>
  </si>
  <si>
    <t>4/1:  Commercial reported a solid first half of the month so upped the March and April forecasts a bit.</t>
  </si>
  <si>
    <t>4/1: No Changes</t>
  </si>
  <si>
    <t>OddsJam</t>
  </si>
  <si>
    <t>4/22: $71k of contraction on prediction insiders bringing MRR down from $165k to $105k. Combined with churn from seasonality.</t>
  </si>
  <si>
    <t>TOTAL SDS</t>
  </si>
  <si>
    <t xml:space="preserve">  🟢 Forecast ≥ Budget  ·  🟡 Forecast within 10% below Budget  ·  🔴 Forecast more than 10% below Budget</t>
  </si>
  <si>
    <t xml:space="preserve">  🟢 Rolling Forecast ≥ Budget  ·  🟡 Rolling Forecast within 10% below Budget  ·  🔴 Rolling Forecast more than 10% below Budget</t>
  </si>
  <si>
    <t>BUDGET vs FORECAST Q1</t>
  </si>
  <si>
    <t>TARGET vs FORECAST Q1</t>
  </si>
  <si>
    <t>BUDGET vs FORECAST Q2</t>
  </si>
  <si>
    <t>TARGET vs FORECAST Q2</t>
  </si>
  <si>
    <t>BUDGET vs FORECAST Q3</t>
  </si>
  <si>
    <t>TARGET vs FORECAST Q3</t>
  </si>
  <si>
    <t>BUDGET vs FORECAST Q4</t>
  </si>
  <si>
    <t>TARGET vs FORECAST Q4</t>
  </si>
  <si>
    <t>25A vs FORECAST</t>
  </si>
  <si>
    <t>25A vs TARGET</t>
  </si>
  <si>
    <t>25A vs BUDGET</t>
  </si>
  <si>
    <t>2026 SDS Forecast</t>
  </si>
  <si>
    <t>VERTICAL / LINE</t>
  </si>
  <si>
    <t>SUBTOTAL — Rotowire</t>
  </si>
  <si>
    <t>SUBTOTAL — Sports Affiliate</t>
  </si>
  <si>
    <t>SUBTOTAL — Partnerships</t>
  </si>
  <si>
    <t>SUBTOTAL — Local</t>
  </si>
  <si>
    <t>SUBTOTAL — Odds / OpticOdds</t>
  </si>
  <si>
    <t>Rotowire  —  2026 Revenue Detail</t>
  </si>
  <si>
    <t>Read-only  ·  All data flows from Forecast Input tab  ·  Do not type here</t>
  </si>
  <si>
    <t>Actual 26'</t>
  </si>
  <si>
    <t>NOTES PLACED IN NEXT TAB</t>
  </si>
  <si>
    <t>Actual vs Forecast $</t>
  </si>
  <si>
    <t>Actual vs Forecast %</t>
  </si>
  <si>
    <t>Forecast vs PY $</t>
  </si>
  <si>
    <t>Forecast vs PY %</t>
  </si>
  <si>
    <t>TOTAL  ROTOWIRE</t>
  </si>
  <si>
    <t>Jul26</t>
  </si>
  <si>
    <t>Raising slightly under the assumption that all the things we're working on right now will start to click in. July</t>
  </si>
  <si>
    <t>May26-Jun26</t>
  </si>
  <si>
    <t>Lowering slightly just to match ho-hum April, things won't pick up until peak NFL sign-up season'</t>
  </si>
  <si>
    <t>Apr26-Dec26</t>
  </si>
  <si>
    <t>Lowering B2B across the board. Simply not picking up as much new business as expected and lost a few key clients. Shannon has a plan to re-double efforts on pro teams</t>
  </si>
  <si>
    <t>Apr26</t>
  </si>
  <si>
    <t>Drop  14K n renewal revenue vs. previous months is slightly worrying</t>
  </si>
  <si>
    <t>Jun26</t>
  </si>
  <si>
    <t xml:space="preserve">Down 8K ... just a slow market right now for new B2B content deals </t>
  </si>
  <si>
    <t>May26</t>
  </si>
  <si>
    <t>Down 5K because we made a big push to grab $$$ in the last week of March, so there's a trickle-down slightly adverse effect on NEW SUBS for early April</t>
  </si>
  <si>
    <t>Down 20K to account for slower-than-expected growth on new B2B API deals this year</t>
  </si>
  <si>
    <t>Down 10K to account for slower-than-expected growth on new B2B API deals this year</t>
  </si>
  <si>
    <t>Mar26</t>
  </si>
  <si>
    <t>Down 10K to account for some renewing contracts held up ... we will pick up this revenue in future months</t>
  </si>
  <si>
    <t>Dropped by 15K to meet realities of losing a few B2B partners and not a huge demand in the short term</t>
  </si>
  <si>
    <t>Small 4K giveback with post-Opening Day subs lower than last season</t>
  </si>
  <si>
    <t>Raised 2K due to uptick in sales just ahead of Opening Day</t>
  </si>
  <si>
    <t>B2B Advertising</t>
  </si>
  <si>
    <t>Raising 6K due to stronger results last seven days</t>
  </si>
  <si>
    <t>Down 4K just to hone in on where we're tracking late in the month</t>
  </si>
  <si>
    <t>Increased by 5K ... posistive trends and good first-half-of-month results from Underdog</t>
  </si>
  <si>
    <t>Dropped by 10K ... we're having a good month cash-wise, but previous months poor performance are holding back accruals a bit ... projecting slight gain from 2025</t>
  </si>
  <si>
    <t>Dropped by 9K, lost a few clients and early 2026 trickle of new business is slow. Might pick up with a few Sloan leads</t>
  </si>
  <si>
    <t>Dropped by 8K, lost a few clients and early 2026 trickle of new business is slow. Might pick up with a few Sloan leads</t>
  </si>
  <si>
    <t>Feb26</t>
  </si>
  <si>
    <t>Dropped by 15K, as we're working through some renewals with clients and in a few cases revenue may not be captured in Feb</t>
  </si>
  <si>
    <t>Down 3K just to hone in on 6 percent expected monthly growth as we near end of month</t>
  </si>
  <si>
    <t>Added 12K ... key partner Snack held better than expected during the NBA All-Star and NHL Olympic breaks</t>
  </si>
  <si>
    <t>Down $455,408 to $446,408</t>
  </si>
  <si>
    <t>Jan26</t>
  </si>
  <si>
    <t>Most of shortfall on $244,299 explained by DraftKings contract not being signed yet even though it's active ... we'll pick up that revenue in Feb/March</t>
  </si>
  <si>
    <t>Down $70,000 to $67,000 ... Olympics and NBA All-Star break slow things down a bit</t>
  </si>
  <si>
    <t>Down $284,000 to $274,000 ... lost a couple of clients (RotoQL the largest)</t>
  </si>
  <si>
    <t>Down $278,000 to $274,000 ... minor adjustment</t>
  </si>
  <si>
    <t>Down $460,408 to $455.408</t>
  </si>
  <si>
    <t>Down $484,326 to $479,326 ... only slight growth in Jan26</t>
  </si>
  <si>
    <t>Up from $68,000 to $73,000 ... slightly better push final week</t>
  </si>
  <si>
    <t>Down $514,326 to $484.326</t>
  </si>
  <si>
    <t>Down $283,000 to $278,000</t>
  </si>
  <si>
    <t>Down $74,000 to $70,000</t>
  </si>
  <si>
    <t>Down $281,000 to $273,000</t>
  </si>
  <si>
    <t>2025 data</t>
  </si>
  <si>
    <t>Q1</t>
  </si>
  <si>
    <t>Q1 Total</t>
  </si>
  <si>
    <t>Q2</t>
  </si>
  <si>
    <t>Q2 Total</t>
  </si>
  <si>
    <t>Q3</t>
  </si>
  <si>
    <t>Q3 Total</t>
  </si>
  <si>
    <t>Q4</t>
  </si>
  <si>
    <t>Q4 Total</t>
  </si>
  <si>
    <t>YTD</t>
  </si>
  <si>
    <t xml:space="preserve">Jan </t>
  </si>
  <si>
    <t>Actual</t>
  </si>
  <si>
    <t>Acutal 24'</t>
  </si>
  <si>
    <t>TOTAL</t>
  </si>
  <si>
    <t xml:space="preserve">Rotowire - B2C Subs </t>
  </si>
  <si>
    <t>Web</t>
  </si>
  <si>
    <t>App</t>
  </si>
  <si>
    <t>Rotowire - Advertising</t>
  </si>
  <si>
    <t>Rotowire - B2B Content</t>
  </si>
  <si>
    <t>Sports Affiliate  —  2026 Revenue Detail</t>
  </si>
  <si>
    <t>BookSync</t>
  </si>
  <si>
    <t>TOTAL  SPORTS AFFILIATE</t>
  </si>
  <si>
    <t>Local  —  2026 Revenue Detail</t>
  </si>
  <si>
    <t>TOTAL  LOCAL</t>
  </si>
  <si>
    <t>Partnerships  —  2026 Revenue Detail</t>
  </si>
  <si>
    <t>TOTAL  PARTNERSHIPS</t>
  </si>
  <si>
    <t>Odds / OpticOdds  —  2026 Revenue Detail</t>
  </si>
  <si>
    <t>OpticOdds Subscriptions</t>
  </si>
  <si>
    <t>TOTAL  ODDS / OPTICODDS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</si>
</sst>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_);[Red]&quot;($&quot;#,##0\);\-"/>
    <numFmt numFmtId="165" formatCode="\+0.0%;[Red]\-0.0%;\-"/>
    <numFmt numFmtId="166" formatCode="m/d/yy;@"/>
    <numFmt numFmtId="167" formatCode="0.0%"/>
    <numFmt numFmtId="168" formatCode="_(&quot;$&quot;* #,##0_);_(&quot;$&quot;* \(#,##0\);_(&quot;$&quot;* &quot;-&quot;??_);_(@_)"/>
    <numFmt numFmtId="169" formatCode="_(* #,##0_);_(* \(#,##0\);_(* &quot;-&quot;??_);_(@_)"/>
    <numFmt numFmtId="170" formatCode="&quot;$&quot;#,##0"/>
  </numFmts>
  <fonts count="49">
    <font>
      <sz val="11"/>
      <color theme="1"/>
      <name val="Calibri"/>
      <family val="2"/>
      <charset val="1"/>
    </font>
    <font>
      <b/>
      <sz val="20"/>
      <color rgb="FFFFFFFF"/>
      <name val="Arial"/>
      <family val="2"/>
    </font>
    <font>
      <b/>
      <sz val="11"/>
      <color rgb="FFFFFFFF"/>
      <name val="Arial"/>
      <family val="2"/>
    </font>
    <font>
      <b/>
      <sz val="10"/>
      <color rgb="FF1C1C1C"/>
      <name val="Arial"/>
      <family val="2"/>
    </font>
    <font>
      <sz val="10"/>
      <color rgb="FF1C1C1C"/>
      <name val="Arial"/>
      <family val="2"/>
    </font>
    <font>
      <b/>
      <sz val="9"/>
      <color rgb="FFFFFFFF"/>
      <name val="Arial"/>
      <family val="2"/>
    </font>
    <font>
      <b/>
      <sz val="10"/>
      <color rgb="FF806000"/>
      <name val="Arial"/>
      <family val="2"/>
    </font>
    <font>
      <b/>
      <sz val="10"/>
      <color rgb="FF5C4400"/>
      <name val="Arial"/>
      <family val="2"/>
    </font>
    <font>
      <b/>
      <sz val="22"/>
      <color rgb="FFFFFFFF"/>
      <name val="Arial"/>
      <family val="2"/>
    </font>
    <font>
      <b/>
      <sz val="12"/>
      <color rgb="FFFFFFFF"/>
      <name val="Arial"/>
      <family val="2"/>
    </font>
    <font>
      <b/>
      <sz val="11"/>
      <color rgb="FF1C1C1C"/>
      <name val="Arial"/>
      <family val="2"/>
    </font>
    <font>
      <i/>
      <sz val="8"/>
      <color rgb="FF6B6B6B"/>
      <name val="Arial"/>
      <family val="2"/>
    </font>
    <font>
      <sz val="10"/>
      <color rgb="FF6B6B6B"/>
      <name val="Arial"/>
      <family val="2"/>
    </font>
    <font>
      <b/>
      <sz val="10"/>
      <color rgb="FFFFFFFF"/>
      <name val="Arial"/>
      <family val="2"/>
    </font>
    <font>
      <b/>
      <sz val="18"/>
      <color rgb="FFFFFFFF"/>
      <name val="Arial"/>
      <family val="2"/>
    </font>
    <font>
      <sz val="9"/>
      <color rgb="FF1C1C1C"/>
      <name val="Arial"/>
      <family val="2"/>
    </font>
    <font>
      <i/>
      <sz val="10"/>
      <color theme="0"/>
      <name val="Arial"/>
      <family val="2"/>
    </font>
    <font>
      <sz val="9"/>
      <color theme="0"/>
      <name val="Arial"/>
      <family val="2"/>
    </font>
    <font>
      <sz val="10"/>
      <color theme="0"/>
      <name val="Arial"/>
      <family val="2"/>
    </font>
    <font>
      <sz val="12"/>
      <color theme="0"/>
      <name val="Arial"/>
      <family val="2"/>
    </font>
    <font>
      <sz val="12"/>
      <color theme="0"/>
      <name val="Calibri"/>
      <family val="2"/>
      <charset val="1"/>
    </font>
    <font>
      <sz val="11"/>
      <color theme="1"/>
      <name val="Calibri"/>
      <family val="2"/>
      <charset val="1"/>
    </font>
    <font>
      <sz val="11"/>
      <color theme="0"/>
      <name val="Calibri"/>
      <family val="2"/>
      <charset val="1"/>
    </font>
    <font>
      <sz val="9"/>
      <color indexed="35"/>
      <name val="Arial"/>
      <family val="2"/>
    </font>
    <font>
      <sz val="11"/>
      <color indexed="35"/>
      <name val="Calibri"/>
      <family val="2"/>
      <charset val="1"/>
    </font>
    <font>
      <b/>
      <sz val="11"/>
      <color theme="1"/>
      <name val="Calibri"/>
      <family val="2"/>
      <scheme val="minor"/>
    </font>
    <font>
      <sz val="9"/>
      <color theme="1"/>
      <name val="Calibri"/>
      <family val="2"/>
      <scheme val="minor"/>
    </font>
    <font>
      <sz val="10"/>
      <color rgb="FF5C4400"/>
      <name val="Arial"/>
      <family val="2"/>
    </font>
    <font>
      <sz val="11"/>
      <color rgb="FFFFFFFF"/>
      <name val="Arial"/>
      <family val="2"/>
    </font>
    <font>
      <sz val="9"/>
      <color rgb="FF6B6B6B"/>
      <name val="Arial"/>
      <family val="2"/>
    </font>
    <font>
      <sz val="10"/>
      <color theme="1"/>
      <name val="Calibri"/>
      <family val="2"/>
      <charset val="1"/>
    </font>
    <font>
      <sz val="8"/>
      <color rgb="FF6B6B6B"/>
      <name val="Arial"/>
      <family val="2"/>
    </font>
    <font>
      <u/>
      <sz val="11"/>
      <color theme="10"/>
      <name val="Calibri"/>
      <family val="2"/>
      <charset val="1"/>
    </font>
    <font>
      <b/>
      <sz val="11"/>
      <color theme="3"/>
      <name val="Arial"/>
      <family val="2"/>
    </font>
    <font>
      <sz val="10"/>
      <color rgb="FF0307FF"/>
      <name val="Arial"/>
      <family val="2"/>
    </font>
    <font>
      <sz val="10"/>
      <color rgb="FF000000"/>
      <name val="Arial"/>
      <family val="2"/>
    </font>
    <font>
      <b/>
      <sz val="11"/>
      <color rgb="FF1C1C1C"/>
      <name val="Arial"/>
    </font>
    <font>
      <b/>
      <sz val="10"/>
      <color rgb="FF1C1C1C"/>
      <name val="Arial"/>
    </font>
    <font>
      <sz val="10"/>
      <color rgb="FF1C1C1C"/>
      <name val="Arial"/>
    </font>
    <font>
      <sz val="9"/>
      <color rgb="FF1C1C1C"/>
      <name val="Arial"/>
    </font>
    <font>
      <sz val="10"/>
      <color rgb="FF6B6B6B"/>
      <name val="Arial"/>
    </font>
    <font>
      <b/>
      <sz val="10"/>
      <color rgb="FF5C4400"/>
      <name val="Arial"/>
    </font>
    <font>
      <sz val="9"/>
      <color rgb="FF6B6B6B"/>
      <name val="Arial"/>
    </font>
    <font>
      <b/>
      <sz val="11"/>
      <color theme="1"/>
      <name val="Aptos Narrow"/>
      <family val="2"/>
      <scheme val="minor"/>
    </font>
    <font>
      <b/>
      <sz val="11"/>
      <color theme="0"/>
      <name val="Aptos Narrow"/>
      <family val="2"/>
      <scheme val="minor"/>
    </font>
    <font>
      <sz val="10"/>
      <color theme="1"/>
      <name val="Aptos Narrow"/>
      <family val="2"/>
      <scheme val="minor"/>
    </font>
    <font>
      <sz val="11"/>
      <color rgb="FF000000"/>
      <name val="Calibri"/>
      <family val="2"/>
    </font>
    <font>
      <sz val="11"/>
      <color rgb="FF000000"/>
      <name val="Aptos Narrow"/>
      <family val="2"/>
      <scheme val="minor"/>
    </font>
    <font>
      <sz val="11"/>
      <color theme="3" tint="9.9978637043366805E-2"/>
      <name val="Aptos Narrow"/>
      <family val="2"/>
      <scheme val="minor"/>
    </font>
  </fonts>
  <fills count="31">
    <fill>
      <patternFill patternType="none"/>
    </fill>
    <fill>
      <patternFill patternType="gray125"/>
    </fill>
    <fill>
      <patternFill patternType="solid">
        <fgColor rgb="FF1A2639"/>
        <bgColor rgb="FF222222"/>
      </patternFill>
    </fill>
    <fill>
      <patternFill patternType="solid">
        <fgColor rgb="FF1A6FAF"/>
        <bgColor rgb="FF008080"/>
      </patternFill>
    </fill>
    <fill>
      <patternFill patternType="solid">
        <fgColor rgb="FFFAFAFA"/>
        <bgColor rgb="FFFFFFFF"/>
      </patternFill>
    </fill>
    <fill>
      <patternFill patternType="solid">
        <fgColor rgb="FFFFFFFF"/>
        <bgColor rgb="FFFAFAFA"/>
      </patternFill>
    </fill>
    <fill>
      <patternFill patternType="solid">
        <fgColor rgb="FFF2F2F2"/>
        <bgColor rgb="FFF0F4FA"/>
      </patternFill>
    </fill>
    <fill>
      <patternFill patternType="solid">
        <fgColor rgb="FFFFF9C4"/>
        <bgColor rgb="FFF2F2F2"/>
      </patternFill>
    </fill>
    <fill>
      <patternFill patternType="solid">
        <fgColor rgb="FFE0F4F1"/>
        <bgColor rgb="FFEBF4FB"/>
      </patternFill>
    </fill>
    <fill>
      <patternFill patternType="solid">
        <fgColor rgb="FF2C3E5D"/>
        <bgColor rgb="FF444444"/>
      </patternFill>
    </fill>
    <fill>
      <patternFill patternType="solid">
        <fgColor rgb="FFEBF4FB"/>
        <bgColor rgb="FFF0F4FA"/>
      </patternFill>
    </fill>
    <fill>
      <patternFill patternType="solid">
        <fgColor rgb="FFF0F4FA"/>
        <bgColor rgb="FFEBF4FB"/>
      </patternFill>
    </fill>
    <fill>
      <patternFill patternType="solid">
        <fgColor rgb="FFF0F7FF"/>
        <bgColor rgb="FFF0F4FA"/>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rgb="FFFFFFFF"/>
        <bgColor indexed="64"/>
      </patternFill>
    </fill>
    <fill>
      <patternFill patternType="solid">
        <fgColor rgb="FFFFF9C4"/>
        <bgColor indexed="64"/>
      </patternFill>
    </fill>
    <fill>
      <patternFill patternType="solid">
        <fgColor rgb="FFF2F2F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1"/>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3" tint="9.9978637043366805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FF00"/>
        <bgColor indexed="64"/>
      </patternFill>
    </fill>
  </fills>
  <borders count="51">
    <border>
      <left/>
      <right/>
      <top/>
      <bottom/>
      <diagonal/>
    </border>
    <border>
      <left style="thin">
        <color rgb="FF444444"/>
      </left>
      <right style="thin">
        <color rgb="FF444444"/>
      </right>
      <top style="thin">
        <color rgb="FF444444"/>
      </top>
      <bottom style="thin">
        <color rgb="FF444444"/>
      </bottom>
      <diagonal/>
    </border>
    <border>
      <left style="thin">
        <color rgb="FFDEDEDE"/>
      </left>
      <right style="thin">
        <color rgb="FFDEDEDE"/>
      </right>
      <top style="thin">
        <color rgb="FFDEDEDE"/>
      </top>
      <bottom style="thin">
        <color rgb="FFDEDEDE"/>
      </bottom>
      <diagonal/>
    </border>
    <border>
      <left style="thin">
        <color rgb="FF222222"/>
      </left>
      <right style="thin">
        <color rgb="FF222222"/>
      </right>
      <top style="thin">
        <color rgb="FF222222"/>
      </top>
      <bottom style="thin">
        <color rgb="FF222222"/>
      </bottom>
      <diagonal/>
    </border>
    <border>
      <left style="thin">
        <color rgb="FF222222"/>
      </left>
      <right/>
      <top style="thin">
        <color rgb="FF222222"/>
      </top>
      <bottom style="thin">
        <color rgb="FF222222"/>
      </bottom>
      <diagonal/>
    </border>
    <border>
      <left style="medium">
        <color rgb="FF222222"/>
      </left>
      <right/>
      <top style="medium">
        <color rgb="FF222222"/>
      </top>
      <bottom style="medium">
        <color rgb="FF222222"/>
      </bottom>
      <diagonal/>
    </border>
    <border>
      <left style="medium">
        <color rgb="FF222222"/>
      </left>
      <right style="medium">
        <color rgb="FF222222"/>
      </right>
      <top style="medium">
        <color rgb="FF222222"/>
      </top>
      <bottom style="medium">
        <color rgb="FF222222"/>
      </bottom>
      <diagonal/>
    </border>
    <border>
      <left style="thin">
        <color rgb="FF444444"/>
      </left>
      <right style="thin">
        <color rgb="FF444444"/>
      </right>
      <top style="thin">
        <color rgb="FF444444"/>
      </top>
      <bottom/>
      <diagonal/>
    </border>
    <border>
      <left style="medium">
        <color indexed="64"/>
      </left>
      <right/>
      <top style="medium">
        <color indexed="64"/>
      </top>
      <bottom/>
      <diagonal/>
    </border>
    <border>
      <left style="thin">
        <color rgb="FFDEDEDE"/>
      </left>
      <right style="thin">
        <color rgb="FFDEDEDE"/>
      </right>
      <top style="medium">
        <color indexed="64"/>
      </top>
      <bottom style="thin">
        <color rgb="FFDEDEDE"/>
      </bottom>
      <diagonal/>
    </border>
    <border>
      <left style="thin">
        <color rgb="FFDEDEDE"/>
      </left>
      <right style="medium">
        <color indexed="64"/>
      </right>
      <top style="medium">
        <color indexed="64"/>
      </top>
      <bottom style="thin">
        <color rgb="FFDEDEDE"/>
      </bottom>
      <diagonal/>
    </border>
    <border>
      <left style="medium">
        <color indexed="64"/>
      </left>
      <right style="thin">
        <color rgb="FFDEDEDE"/>
      </right>
      <top style="thin">
        <color rgb="FFDEDEDE"/>
      </top>
      <bottom style="thin">
        <color rgb="FFDEDEDE"/>
      </bottom>
      <diagonal/>
    </border>
    <border>
      <left style="thin">
        <color rgb="FFDEDEDE"/>
      </left>
      <right style="medium">
        <color indexed="64"/>
      </right>
      <top style="thin">
        <color rgb="FFDEDEDE"/>
      </top>
      <bottom style="thin">
        <color rgb="FFDEDEDE"/>
      </bottom>
      <diagonal/>
    </border>
    <border>
      <left style="medium">
        <color indexed="64"/>
      </left>
      <right style="thin">
        <color rgb="FFDEDEDE"/>
      </right>
      <top style="thin">
        <color rgb="FFDEDEDE"/>
      </top>
      <bottom style="medium">
        <color indexed="64"/>
      </bottom>
      <diagonal/>
    </border>
    <border>
      <left style="thin">
        <color rgb="FFDEDEDE"/>
      </left>
      <right style="thin">
        <color rgb="FFDEDEDE"/>
      </right>
      <top style="thin">
        <color rgb="FFDEDEDE"/>
      </top>
      <bottom style="medium">
        <color indexed="64"/>
      </bottom>
      <diagonal/>
    </border>
    <border>
      <left style="thin">
        <color rgb="FFDEDEDE"/>
      </left>
      <right style="medium">
        <color indexed="64"/>
      </right>
      <top style="thin">
        <color rgb="FFDEDEDE"/>
      </top>
      <bottom style="medium">
        <color indexed="64"/>
      </bottom>
      <diagonal/>
    </border>
    <border>
      <left/>
      <right style="thin">
        <color rgb="FF222222"/>
      </right>
      <top/>
      <bottom/>
      <diagonal/>
    </border>
    <border>
      <left style="thin">
        <color rgb="FFDEDEDE"/>
      </left>
      <right style="thin">
        <color rgb="FFDEDEDE"/>
      </right>
      <top style="thin">
        <color rgb="FFDEDEDE"/>
      </top>
      <bottom/>
      <diagonal/>
    </border>
    <border>
      <left/>
      <right/>
      <top style="thin">
        <color rgb="FF222222"/>
      </top>
      <bottom/>
      <diagonal/>
    </border>
    <border>
      <left style="thin">
        <color rgb="FF444444"/>
      </left>
      <right/>
      <top style="thin">
        <color rgb="FF444444"/>
      </top>
      <bottom style="thin">
        <color rgb="FF444444"/>
      </bottom>
      <diagonal/>
    </border>
    <border>
      <left style="thin">
        <color rgb="FFDEDEDE"/>
      </left>
      <right/>
      <top style="thin">
        <color rgb="FFDEDEDE"/>
      </top>
      <bottom style="thin">
        <color rgb="FFDEDEDE"/>
      </bottom>
      <diagonal/>
    </border>
    <border>
      <left/>
      <right/>
      <top/>
      <bottom style="thin">
        <color rgb="FF444444"/>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right style="hair">
        <color indexed="64"/>
      </right>
      <top style="medium">
        <color rgb="FF000000"/>
      </top>
      <bottom/>
      <diagonal/>
    </border>
    <border>
      <left style="medium">
        <color rgb="FF000000"/>
      </left>
      <right style="hair">
        <color indexed="64"/>
      </right>
      <top style="medium">
        <color rgb="FF000000"/>
      </top>
      <bottom/>
      <diagonal/>
    </border>
    <border>
      <left style="medium">
        <color rgb="FF000000"/>
      </left>
      <right/>
      <top style="medium">
        <color rgb="FF000000"/>
      </top>
      <bottom style="thin">
        <color rgb="FF000000"/>
      </bottom>
      <diagonal/>
    </border>
    <border>
      <left/>
      <right style="hair">
        <color indexed="64"/>
      </right>
      <top style="medium">
        <color rgb="FF000000"/>
      </top>
      <bottom style="hair">
        <color indexed="64"/>
      </bottom>
      <diagonal/>
    </border>
    <border>
      <left style="medium">
        <color rgb="FF000000"/>
      </left>
      <right style="hair">
        <color indexed="64"/>
      </right>
      <top style="medium">
        <color rgb="FF000000"/>
      </top>
      <bottom style="hair">
        <color indexed="64"/>
      </bottom>
      <diagonal/>
    </border>
    <border>
      <left/>
      <right style="medium">
        <color rgb="FF000000"/>
      </right>
      <top style="medium">
        <color rgb="FF000000"/>
      </top>
      <bottom style="hair">
        <color indexed="64"/>
      </bottom>
      <diagonal/>
    </border>
    <border>
      <left/>
      <right/>
      <top style="medium">
        <color rgb="FF000000"/>
      </top>
      <bottom style="hair">
        <color indexed="64"/>
      </bottom>
      <diagonal/>
    </border>
    <border>
      <left style="medium">
        <color rgb="FF000000"/>
      </left>
      <right/>
      <top/>
      <bottom/>
      <diagonal/>
    </border>
    <border>
      <left style="medium">
        <color rgb="FF000000"/>
      </left>
      <right/>
      <top style="thin">
        <color rgb="FFC0C0C0"/>
      </top>
      <bottom style="thin">
        <color rgb="FFC0C0C0"/>
      </bottom>
      <diagonal/>
    </border>
    <border>
      <left/>
      <right style="hair">
        <color indexed="64"/>
      </right>
      <top style="hair">
        <color indexed="64"/>
      </top>
      <bottom style="hair">
        <color indexed="64"/>
      </bottom>
      <diagonal/>
    </border>
    <border>
      <left style="medium">
        <color rgb="FF000000"/>
      </left>
      <right style="hair">
        <color indexed="64"/>
      </right>
      <top style="hair">
        <color indexed="64"/>
      </top>
      <bottom style="hair">
        <color indexed="64"/>
      </bottom>
      <diagonal/>
    </border>
    <border>
      <left/>
      <right style="medium">
        <color rgb="FF000000"/>
      </right>
      <top style="hair">
        <color indexed="64"/>
      </top>
      <bottom style="hair">
        <color indexed="64"/>
      </bottom>
      <diagonal/>
    </border>
    <border>
      <left/>
      <right/>
      <top style="hair">
        <color indexed="64"/>
      </top>
      <bottom style="hair">
        <color indexed="64"/>
      </bottom>
      <diagonal/>
    </border>
    <border>
      <left style="medium">
        <color rgb="FF000000"/>
      </left>
      <right/>
      <top/>
      <bottom style="thin">
        <color rgb="FFC0C0C0"/>
      </bottom>
      <diagonal/>
    </border>
    <border>
      <left style="medium">
        <color rgb="FF000000"/>
      </left>
      <right/>
      <top/>
      <bottom style="medium">
        <color rgb="FF000000"/>
      </bottom>
      <diagonal/>
    </border>
    <border>
      <left/>
      <right style="hair">
        <color indexed="64"/>
      </right>
      <top style="hair">
        <color indexed="64"/>
      </top>
      <bottom style="medium">
        <color rgb="FF000000"/>
      </bottom>
      <diagonal/>
    </border>
    <border>
      <left style="medium">
        <color rgb="FF000000"/>
      </left>
      <right style="hair">
        <color indexed="64"/>
      </right>
      <top style="hair">
        <color indexed="64"/>
      </top>
      <bottom style="medium">
        <color rgb="FF000000"/>
      </bottom>
      <diagonal/>
    </border>
    <border>
      <left/>
      <right style="medium">
        <color rgb="FF000000"/>
      </right>
      <top style="hair">
        <color indexed="64"/>
      </top>
      <bottom style="medium">
        <color rgb="FF000000"/>
      </bottom>
      <diagonal/>
    </border>
    <border>
      <left/>
      <right/>
      <top style="hair">
        <color indexed="64"/>
      </top>
      <bottom style="medium">
        <color rgb="FF000000"/>
      </bottom>
      <diagonal/>
    </border>
  </borders>
  <cellStyleXfs count="4">
    <xf numFmtId="0" fontId="0" fillId="0" borderId="0"/>
    <xf numFmtId="9" fontId="21" fillId="0" borderId="0" applyFont="0" applyFill="0" applyBorder="0" applyAlignment="0" applyProtection="0"/>
    <xf numFmtId="44" fontId="21" fillId="0" borderId="0" applyFont="0" applyFill="0" applyBorder="0" applyAlignment="0" applyProtection="0"/>
    <xf numFmtId="0" fontId="32" fillId="0" borderId="0" applyNumberFormat="0" applyFill="0" applyBorder="0" applyAlignment="0" applyProtection="0"/>
  </cellStyleXfs>
  <cellXfs count="244">
    <xf numFmtId="0" fontId="0" fillId="0" borderId="0" xfId="0"/>
    <xf numFmtId="0" fontId="0" fillId="4" borderId="0" xfId="0" applyFill="1"/>
    <xf numFmtId="0" fontId="3" fillId="5" borderId="0" xfId="0" applyFont="1" applyFill="1" applyAlignment="1">
      <alignment horizontal="left" vertical="center" wrapText="1" indent="1"/>
    </xf>
    <xf numFmtId="0" fontId="3" fillId="6" borderId="0" xfId="0" applyFont="1" applyFill="1" applyAlignment="1">
      <alignment horizontal="left" vertical="center" wrapText="1" indent="1"/>
    </xf>
    <xf numFmtId="0" fontId="4" fillId="6" borderId="0" xfId="0" applyFont="1" applyFill="1" applyAlignment="1">
      <alignment horizontal="left" vertical="center" wrapText="1" indent="1"/>
    </xf>
    <xf numFmtId="0" fontId="4" fillId="5" borderId="0" xfId="0" applyFont="1" applyFill="1" applyAlignment="1">
      <alignment horizontal="left" vertical="center" wrapText="1" indent="1"/>
    </xf>
    <xf numFmtId="0" fontId="3" fillId="7" borderId="0" xfId="0" applyFont="1" applyFill="1" applyAlignment="1">
      <alignment horizontal="left" vertical="center" wrapText="1" indent="1"/>
    </xf>
    <xf numFmtId="0" fontId="4" fillId="7" borderId="0" xfId="0" applyFont="1" applyFill="1" applyAlignment="1">
      <alignment horizontal="left" vertical="center" wrapText="1" indent="1"/>
    </xf>
    <xf numFmtId="0" fontId="3" fillId="8" borderId="0" xfId="0" applyFont="1" applyFill="1" applyAlignment="1">
      <alignment horizontal="left" vertical="center" wrapText="1" indent="1"/>
    </xf>
    <xf numFmtId="0" fontId="4" fillId="8" borderId="0" xfId="0" applyFont="1" applyFill="1" applyAlignment="1">
      <alignment horizontal="left" vertical="center" wrapText="1" indent="1"/>
    </xf>
    <xf numFmtId="0" fontId="5" fillId="2" borderId="1" xfId="0" applyFont="1" applyFill="1" applyBorder="1" applyAlignment="1">
      <alignment horizontal="center" vertical="center" wrapText="1"/>
    </xf>
    <xf numFmtId="0" fontId="3" fillId="8" borderId="0" xfId="0" applyFont="1" applyFill="1" applyAlignment="1">
      <alignment horizontal="left" vertical="center" indent="1"/>
    </xf>
    <xf numFmtId="0" fontId="3" fillId="8" borderId="2" xfId="0" applyFont="1" applyFill="1" applyBorder="1" applyAlignment="1">
      <alignment horizontal="left" vertical="center" indent="1"/>
    </xf>
    <xf numFmtId="164" fontId="4" fillId="8" borderId="2" xfId="0" applyNumberFormat="1" applyFont="1" applyFill="1" applyBorder="1" applyAlignment="1">
      <alignment horizontal="right" vertical="center"/>
    </xf>
    <xf numFmtId="0" fontId="0" fillId="7" borderId="0" xfId="0" applyFill="1"/>
    <xf numFmtId="0" fontId="3" fillId="7" borderId="2" xfId="0" applyFont="1" applyFill="1" applyBorder="1" applyAlignment="1">
      <alignment horizontal="left" vertical="center" indent="1"/>
    </xf>
    <xf numFmtId="0" fontId="6" fillId="7" borderId="2" xfId="0" applyFont="1" applyFill="1" applyBorder="1" applyAlignment="1">
      <alignment horizontal="left" vertical="center" indent="1"/>
    </xf>
    <xf numFmtId="164" fontId="7" fillId="7" borderId="2" xfId="0" applyNumberFormat="1" applyFont="1" applyFill="1" applyBorder="1" applyAlignment="1">
      <alignment horizontal="right" vertical="center"/>
    </xf>
    <xf numFmtId="0" fontId="4" fillId="8" borderId="0" xfId="0" applyFont="1" applyFill="1" applyAlignment="1">
      <alignment horizontal="left" vertical="center" indent="1"/>
    </xf>
    <xf numFmtId="0" fontId="5" fillId="9" borderId="1" xfId="0" applyFont="1" applyFill="1" applyBorder="1" applyAlignment="1">
      <alignment horizontal="center" vertical="center" wrapText="1"/>
    </xf>
    <xf numFmtId="0" fontId="3" fillId="6" borderId="2" xfId="0" applyFont="1" applyFill="1" applyBorder="1" applyAlignment="1">
      <alignment horizontal="left" vertical="center" indent="1"/>
    </xf>
    <xf numFmtId="164" fontId="10" fillId="6" borderId="2" xfId="0" applyNumberFormat="1" applyFont="1" applyFill="1" applyBorder="1" applyAlignment="1">
      <alignment horizontal="center" vertical="center"/>
    </xf>
    <xf numFmtId="164" fontId="12" fillId="6" borderId="2" xfId="0" applyNumberFormat="1" applyFont="1" applyFill="1" applyBorder="1" applyAlignment="1">
      <alignment horizontal="right" vertical="center"/>
    </xf>
    <xf numFmtId="164" fontId="3" fillId="6" borderId="2" xfId="0" applyNumberFormat="1" applyFont="1" applyFill="1" applyBorder="1" applyAlignment="1">
      <alignment horizontal="right" vertical="center"/>
    </xf>
    <xf numFmtId="165" fontId="3" fillId="6" borderId="2" xfId="0" applyNumberFormat="1" applyFont="1" applyFill="1" applyBorder="1" applyAlignment="1">
      <alignment horizontal="center" vertical="center"/>
    </xf>
    <xf numFmtId="0" fontId="3" fillId="5" borderId="2" xfId="0" applyFont="1" applyFill="1" applyBorder="1" applyAlignment="1">
      <alignment horizontal="left" vertical="center" indent="1"/>
    </xf>
    <xf numFmtId="164" fontId="3" fillId="5" borderId="2" xfId="0" applyNumberFormat="1" applyFont="1" applyFill="1" applyBorder="1" applyAlignment="1">
      <alignment horizontal="right" vertical="center"/>
    </xf>
    <xf numFmtId="165" fontId="3" fillId="5" borderId="2" xfId="0" applyNumberFormat="1" applyFont="1" applyFill="1" applyBorder="1" applyAlignment="1">
      <alignment horizontal="center" vertical="center"/>
    </xf>
    <xf numFmtId="0" fontId="13" fillId="2" borderId="3" xfId="0" applyFont="1" applyFill="1" applyBorder="1" applyAlignment="1">
      <alignment horizontal="left" vertical="center" indent="1"/>
    </xf>
    <xf numFmtId="164" fontId="13" fillId="2" borderId="3" xfId="0" applyNumberFormat="1" applyFont="1" applyFill="1" applyBorder="1" applyAlignment="1">
      <alignment horizontal="right" vertical="center"/>
    </xf>
    <xf numFmtId="165" fontId="13" fillId="2" borderId="3" xfId="0" applyNumberFormat="1" applyFont="1" applyFill="1" applyBorder="1" applyAlignment="1">
      <alignment horizontal="center" vertical="center"/>
    </xf>
    <xf numFmtId="0" fontId="0" fillId="5" borderId="0" xfId="0" applyFill="1"/>
    <xf numFmtId="164" fontId="0" fillId="0" borderId="0" xfId="0" applyNumberFormat="1"/>
    <xf numFmtId="0" fontId="4" fillId="6" borderId="2" xfId="0" applyFont="1" applyFill="1" applyBorder="1" applyAlignment="1">
      <alignment horizontal="left" vertical="center" indent="1"/>
    </xf>
    <xf numFmtId="0" fontId="4" fillId="7" borderId="2" xfId="0" applyFont="1" applyFill="1" applyBorder="1" applyAlignment="1">
      <alignment horizontal="left" vertical="center" indent="1"/>
    </xf>
    <xf numFmtId="0" fontId="0" fillId="2" borderId="0" xfId="0" applyFill="1"/>
    <xf numFmtId="0" fontId="20" fillId="0" borderId="0" xfId="0" applyFont="1"/>
    <xf numFmtId="0" fontId="2" fillId="3" borderId="0" xfId="0" applyFont="1" applyFill="1" applyAlignment="1">
      <alignment vertical="center"/>
    </xf>
    <xf numFmtId="0" fontId="5" fillId="9" borderId="7" xfId="0" applyFont="1" applyFill="1" applyBorder="1" applyAlignment="1">
      <alignment horizontal="center" vertical="center" wrapText="1"/>
    </xf>
    <xf numFmtId="0" fontId="3" fillId="8" borderId="8" xfId="0" applyFont="1" applyFill="1" applyBorder="1" applyAlignment="1">
      <alignment horizontal="left" vertical="center" indent="1"/>
    </xf>
    <xf numFmtId="0" fontId="3" fillId="8" borderId="9" xfId="0" applyFont="1" applyFill="1" applyBorder="1" applyAlignment="1">
      <alignment horizontal="left" vertical="center" indent="1"/>
    </xf>
    <xf numFmtId="164" fontId="4" fillId="8" borderId="9" xfId="0" applyNumberFormat="1" applyFont="1" applyFill="1" applyBorder="1" applyAlignment="1">
      <alignment horizontal="right" vertical="center"/>
    </xf>
    <xf numFmtId="164" fontId="3" fillId="8" borderId="10" xfId="0" applyNumberFormat="1" applyFont="1" applyFill="1" applyBorder="1" applyAlignment="1">
      <alignment horizontal="right" vertical="center"/>
    </xf>
    <xf numFmtId="0" fontId="15" fillId="6" borderId="11" xfId="0" applyFont="1" applyFill="1" applyBorder="1" applyAlignment="1">
      <alignment horizontal="left" vertical="center" indent="1"/>
    </xf>
    <xf numFmtId="164" fontId="4" fillId="6" borderId="12" xfId="0" applyNumberFormat="1" applyFont="1" applyFill="1" applyBorder="1" applyAlignment="1">
      <alignment horizontal="right" vertical="center"/>
    </xf>
    <xf numFmtId="0" fontId="15" fillId="7" borderId="11" xfId="0" applyFont="1" applyFill="1" applyBorder="1" applyAlignment="1">
      <alignment horizontal="left" vertical="center" indent="1"/>
    </xf>
    <xf numFmtId="164" fontId="3" fillId="7" borderId="12" xfId="0" applyNumberFormat="1" applyFont="1" applyFill="1" applyBorder="1" applyAlignment="1">
      <alignment horizontal="right" vertical="center"/>
    </xf>
    <xf numFmtId="0" fontId="15" fillId="10" borderId="11" xfId="0" applyFont="1" applyFill="1" applyBorder="1" applyAlignment="1">
      <alignment horizontal="left" vertical="center" indent="1"/>
    </xf>
    <xf numFmtId="0" fontId="0" fillId="10" borderId="12" xfId="0" applyFill="1" applyBorder="1" applyAlignment="1">
      <alignment horizontal="right" vertical="center"/>
    </xf>
    <xf numFmtId="0" fontId="15" fillId="10" borderId="13" xfId="0" applyFont="1" applyFill="1" applyBorder="1" applyAlignment="1">
      <alignment horizontal="left" vertical="center" indent="1"/>
    </xf>
    <xf numFmtId="0" fontId="0" fillId="10" borderId="15" xfId="0" applyFill="1" applyBorder="1" applyAlignment="1">
      <alignment horizontal="right" vertical="center"/>
    </xf>
    <xf numFmtId="0" fontId="15" fillId="12" borderId="11" xfId="0" applyFont="1" applyFill="1" applyBorder="1" applyAlignment="1">
      <alignment horizontal="left" vertical="center" indent="1"/>
    </xf>
    <xf numFmtId="0" fontId="15" fillId="12" borderId="13" xfId="0" applyFont="1" applyFill="1" applyBorder="1" applyAlignment="1">
      <alignment horizontal="left" vertical="center" indent="1"/>
    </xf>
    <xf numFmtId="0" fontId="22" fillId="0" borderId="0" xfId="0" applyFont="1"/>
    <xf numFmtId="0" fontId="24" fillId="0" borderId="0" xfId="0" applyFont="1"/>
    <xf numFmtId="14" fontId="0" fillId="0" borderId="0" xfId="0" applyNumberFormat="1"/>
    <xf numFmtId="166" fontId="0" fillId="0" borderId="0" xfId="0" applyNumberFormat="1"/>
    <xf numFmtId="0" fontId="25" fillId="13" borderId="0" xfId="0" applyFont="1" applyFill="1"/>
    <xf numFmtId="0" fontId="0" fillId="13" borderId="0" xfId="0" applyFill="1" applyAlignment="1">
      <alignment horizontal="right"/>
    </xf>
    <xf numFmtId="0" fontId="0" fillId="13" borderId="0" xfId="0" applyFill="1" applyAlignment="1">
      <alignment horizontal="center"/>
    </xf>
    <xf numFmtId="0" fontId="0" fillId="13" borderId="0" xfId="0" quotePrefix="1" applyFill="1" applyAlignment="1">
      <alignment horizontal="left"/>
    </xf>
    <xf numFmtId="0" fontId="0" fillId="13" borderId="0" xfId="0" applyFill="1"/>
    <xf numFmtId="44" fontId="0" fillId="0" borderId="0" xfId="2" applyFont="1" applyAlignment="1">
      <alignment horizontal="center"/>
    </xf>
    <xf numFmtId="44" fontId="26" fillId="0" borderId="0" xfId="2" applyFont="1" applyAlignment="1">
      <alignment horizontal="center"/>
    </xf>
    <xf numFmtId="0" fontId="0" fillId="14" borderId="0" xfId="0" applyFill="1" applyAlignment="1">
      <alignment horizontal="center"/>
    </xf>
    <xf numFmtId="0" fontId="0" fillId="14" borderId="0" xfId="0" quotePrefix="1" applyFill="1" applyAlignment="1">
      <alignment horizontal="center"/>
    </xf>
    <xf numFmtId="167" fontId="0" fillId="14" borderId="0" xfId="0" applyNumberFormat="1" applyFill="1" applyAlignment="1">
      <alignment horizontal="center"/>
    </xf>
    <xf numFmtId="44" fontId="0" fillId="13" borderId="0" xfId="2" applyFont="1" applyFill="1" applyAlignment="1">
      <alignment horizontal="center"/>
    </xf>
    <xf numFmtId="44" fontId="26" fillId="13" borderId="0" xfId="2" applyFont="1" applyFill="1" applyAlignment="1">
      <alignment horizontal="center"/>
    </xf>
    <xf numFmtId="0" fontId="0" fillId="14" borderId="0" xfId="0" applyFill="1" applyAlignment="1">
      <alignment horizontal="right"/>
    </xf>
    <xf numFmtId="0" fontId="26" fillId="13" borderId="0" xfId="0" applyFont="1" applyFill="1" applyAlignment="1">
      <alignment horizontal="center"/>
    </xf>
    <xf numFmtId="0" fontId="0" fillId="14" borderId="0" xfId="0" applyFill="1" applyAlignment="1">
      <alignment horizontal="left"/>
    </xf>
    <xf numFmtId="0" fontId="26" fillId="0" borderId="0" xfId="0" applyFont="1" applyAlignment="1">
      <alignment horizontal="center"/>
    </xf>
    <xf numFmtId="16" fontId="25" fillId="13" borderId="0" xfId="0" quotePrefix="1" applyNumberFormat="1" applyFont="1" applyFill="1" applyAlignment="1">
      <alignment horizontal="center"/>
    </xf>
    <xf numFmtId="0" fontId="0" fillId="13" borderId="0" xfId="0" applyFill="1" applyAlignment="1">
      <alignment horizontal="left"/>
    </xf>
    <xf numFmtId="168" fontId="0" fillId="0" borderId="0" xfId="0" applyNumberFormat="1" applyAlignment="1">
      <alignment horizontal="center"/>
    </xf>
    <xf numFmtId="168" fontId="0" fillId="13" borderId="0" xfId="0" applyNumberFormat="1" applyFill="1" applyAlignment="1">
      <alignment horizontal="center"/>
    </xf>
    <xf numFmtId="168" fontId="0" fillId="15" borderId="0" xfId="0" applyNumberFormat="1" applyFill="1" applyAlignment="1">
      <alignment horizontal="center"/>
    </xf>
    <xf numFmtId="0" fontId="0" fillId="0" borderId="0" xfId="0" applyAlignment="1">
      <alignment horizontal="center"/>
    </xf>
    <xf numFmtId="0" fontId="26" fillId="13" borderId="0" xfId="0" applyFont="1" applyFill="1"/>
    <xf numFmtId="0" fontId="26" fillId="13" borderId="0" xfId="0" quotePrefix="1" applyFont="1" applyFill="1" applyAlignment="1">
      <alignment horizontal="left"/>
    </xf>
    <xf numFmtId="168" fontId="0" fillId="16" borderId="0" xfId="0" applyNumberFormat="1" applyFill="1"/>
    <xf numFmtId="49" fontId="0" fillId="0" borderId="0" xfId="0" quotePrefix="1" applyNumberFormat="1"/>
    <xf numFmtId="0" fontId="0" fillId="17" borderId="0" xfId="0" applyFill="1"/>
    <xf numFmtId="0" fontId="0" fillId="18" borderId="0" xfId="0" applyFill="1"/>
    <xf numFmtId="0" fontId="28" fillId="3" borderId="0" xfId="0" applyFont="1" applyFill="1" applyAlignment="1">
      <alignment vertical="center"/>
    </xf>
    <xf numFmtId="0" fontId="29" fillId="10" borderId="2" xfId="0" applyFont="1" applyFill="1" applyBorder="1" applyAlignment="1">
      <alignment horizontal="left" vertical="center" indent="1"/>
    </xf>
    <xf numFmtId="0" fontId="0" fillId="12" borderId="12" xfId="0" applyFill="1" applyBorder="1" applyAlignment="1">
      <alignment horizontal="right" vertical="center"/>
    </xf>
    <xf numFmtId="0" fontId="0" fillId="12" borderId="15" xfId="0" applyFill="1" applyBorder="1" applyAlignment="1">
      <alignment horizontal="right" vertical="center"/>
    </xf>
    <xf numFmtId="164" fontId="27" fillId="7" borderId="2" xfId="0" applyNumberFormat="1" applyFont="1" applyFill="1" applyBorder="1" applyAlignment="1" applyProtection="1">
      <alignment horizontal="right" vertical="center"/>
      <protection locked="0"/>
    </xf>
    <xf numFmtId="164" fontId="27" fillId="7" borderId="2" xfId="0" applyNumberFormat="1" applyFont="1" applyFill="1" applyBorder="1" applyAlignment="1">
      <alignment horizontal="right" vertical="center"/>
    </xf>
    <xf numFmtId="0" fontId="30" fillId="0" borderId="0" xfId="0" applyFont="1" applyAlignment="1">
      <alignment indent="2"/>
    </xf>
    <xf numFmtId="0" fontId="9" fillId="0" borderId="0" xfId="0" applyFont="1" applyAlignment="1">
      <alignment horizontal="left" vertical="center" indent="2"/>
    </xf>
    <xf numFmtId="0" fontId="9" fillId="0" borderId="0" xfId="0" applyFont="1" applyAlignment="1">
      <alignment vertical="center" indent="2"/>
    </xf>
    <xf numFmtId="0" fontId="5" fillId="0" borderId="0" xfId="0" applyFont="1" applyAlignment="1">
      <alignment vertical="center" wrapText="1"/>
    </xf>
    <xf numFmtId="0" fontId="3" fillId="6" borderId="2" xfId="0" applyFont="1" applyFill="1" applyBorder="1" applyAlignment="1">
      <alignment vertical="center" indent="1"/>
    </xf>
    <xf numFmtId="164" fontId="3" fillId="6" borderId="2" xfId="0" applyNumberFormat="1" applyFont="1" applyFill="1" applyBorder="1" applyAlignment="1">
      <alignment vertical="center"/>
    </xf>
    <xf numFmtId="165" fontId="3" fillId="6" borderId="20" xfId="0" applyNumberFormat="1" applyFont="1" applyFill="1" applyBorder="1" applyAlignment="1">
      <alignment vertical="center"/>
    </xf>
    <xf numFmtId="0" fontId="3" fillId="0" borderId="0" xfId="0" applyFont="1" applyAlignment="1">
      <alignment vertical="center"/>
    </xf>
    <xf numFmtId="0" fontId="3" fillId="5" borderId="2" xfId="0" applyFont="1" applyFill="1" applyBorder="1" applyAlignment="1">
      <alignment vertical="center" indent="1"/>
    </xf>
    <xf numFmtId="164" fontId="3" fillId="5" borderId="2" xfId="0" applyNumberFormat="1" applyFont="1" applyFill="1" applyBorder="1" applyAlignment="1">
      <alignment vertical="center"/>
    </xf>
    <xf numFmtId="165" fontId="3" fillId="5" borderId="20" xfId="0" applyNumberFormat="1" applyFont="1" applyFill="1" applyBorder="1" applyAlignment="1">
      <alignment vertical="center"/>
    </xf>
    <xf numFmtId="0" fontId="13" fillId="2" borderId="3" xfId="0" applyFont="1" applyFill="1" applyBorder="1" applyAlignment="1">
      <alignment vertical="center" indent="1"/>
    </xf>
    <xf numFmtId="164" fontId="13" fillId="2" borderId="3" xfId="0" applyNumberFormat="1" applyFont="1" applyFill="1" applyBorder="1" applyAlignment="1">
      <alignment vertical="center"/>
    </xf>
    <xf numFmtId="165" fontId="13" fillId="2" borderId="4" xfId="0" applyNumberFormat="1" applyFont="1" applyFill="1" applyBorder="1" applyAlignment="1">
      <alignment vertical="center"/>
    </xf>
    <xf numFmtId="0" fontId="13" fillId="0" borderId="0" xfId="0" applyFont="1" applyAlignment="1">
      <alignment vertical="center"/>
    </xf>
    <xf numFmtId="165" fontId="13" fillId="2" borderId="3" xfId="0" applyNumberFormat="1" applyFont="1" applyFill="1" applyBorder="1" applyAlignment="1">
      <alignment vertical="center"/>
    </xf>
    <xf numFmtId="0" fontId="11" fillId="0" borderId="18" xfId="0" applyFont="1" applyBorder="1" applyAlignment="1">
      <alignment vertical="center"/>
    </xf>
    <xf numFmtId="0" fontId="9" fillId="3" borderId="0" xfId="0" applyFont="1" applyFill="1" applyAlignment="1">
      <alignment horizontal="center" vertical="center" indent="2"/>
    </xf>
    <xf numFmtId="0" fontId="32" fillId="0" borderId="0" xfId="3"/>
    <xf numFmtId="0" fontId="5" fillId="0" borderId="0" xfId="0" applyFont="1" applyAlignment="1">
      <alignment horizontal="center" vertical="center" wrapText="1"/>
    </xf>
    <xf numFmtId="0" fontId="11" fillId="0" borderId="0" xfId="0" applyFont="1" applyAlignment="1">
      <alignment vertical="center"/>
    </xf>
    <xf numFmtId="0" fontId="3" fillId="11" borderId="2" xfId="0" applyFont="1" applyFill="1" applyBorder="1" applyAlignment="1">
      <alignment vertical="center"/>
    </xf>
    <xf numFmtId="0" fontId="13" fillId="2" borderId="3" xfId="0" applyFont="1" applyFill="1" applyBorder="1" applyAlignment="1">
      <alignment vertical="center"/>
    </xf>
    <xf numFmtId="164" fontId="33" fillId="20" borderId="2" xfId="0" applyNumberFormat="1" applyFont="1" applyFill="1" applyBorder="1" applyAlignment="1">
      <alignment horizontal="center" vertical="center"/>
    </xf>
    <xf numFmtId="9" fontId="33" fillId="20" borderId="2" xfId="0" applyNumberFormat="1" applyFont="1" applyFill="1" applyBorder="1" applyAlignment="1">
      <alignment horizontal="center" vertical="center"/>
    </xf>
    <xf numFmtId="0" fontId="3" fillId="0" borderId="2" xfId="0" applyFont="1" applyBorder="1" applyAlignment="1">
      <alignment vertical="center"/>
    </xf>
    <xf numFmtId="0" fontId="0" fillId="0" borderId="0" xfId="0" quotePrefix="1"/>
    <xf numFmtId="0" fontId="5" fillId="21" borderId="1" xfId="0" applyFont="1" applyFill="1" applyBorder="1" applyAlignment="1">
      <alignment horizontal="center" vertical="center" wrapText="1"/>
    </xf>
    <xf numFmtId="0" fontId="5" fillId="22" borderId="1" xfId="0" applyFont="1" applyFill="1" applyBorder="1" applyAlignment="1">
      <alignment horizontal="center" vertical="center" wrapText="1"/>
    </xf>
    <xf numFmtId="0" fontId="5" fillId="22" borderId="1" xfId="0" quotePrefix="1" applyFont="1" applyFill="1" applyBorder="1" applyAlignment="1">
      <alignment horizontal="center" vertical="center" wrapText="1"/>
    </xf>
    <xf numFmtId="0" fontId="9" fillId="22" borderId="0" xfId="0" applyFont="1" applyFill="1" applyAlignment="1">
      <alignment vertical="center" indent="2"/>
    </xf>
    <xf numFmtId="0" fontId="5" fillId="22" borderId="1" xfId="0" applyFont="1" applyFill="1" applyBorder="1" applyAlignment="1">
      <alignment vertical="center" wrapText="1"/>
    </xf>
    <xf numFmtId="0" fontId="5" fillId="22" borderId="19" xfId="0" applyFont="1" applyFill="1" applyBorder="1" applyAlignment="1">
      <alignment horizontal="center" vertical="center" wrapText="1"/>
    </xf>
    <xf numFmtId="164" fontId="34" fillId="6" borderId="2" xfId="0" applyNumberFormat="1" applyFont="1" applyFill="1" applyBorder="1" applyAlignment="1">
      <alignment vertical="center"/>
    </xf>
    <xf numFmtId="164" fontId="35" fillId="6" borderId="2" xfId="0" applyNumberFormat="1" applyFont="1" applyFill="1" applyBorder="1" applyAlignment="1">
      <alignment vertical="center"/>
    </xf>
    <xf numFmtId="164" fontId="35" fillId="5" borderId="2" xfId="0" applyNumberFormat="1" applyFont="1" applyFill="1" applyBorder="1" applyAlignment="1">
      <alignment vertical="center"/>
    </xf>
    <xf numFmtId="166" fontId="0" fillId="0" borderId="0" xfId="0" quotePrefix="1" applyNumberFormat="1"/>
    <xf numFmtId="0" fontId="0" fillId="0" borderId="0" xfId="0" quotePrefix="1" applyAlignment="1">
      <alignment wrapText="1"/>
    </xf>
    <xf numFmtId="169" fontId="0" fillId="0" borderId="0" xfId="0" applyNumberFormat="1"/>
    <xf numFmtId="0" fontId="26" fillId="14" borderId="0" xfId="0" applyFont="1" applyFill="1"/>
    <xf numFmtId="168" fontId="0" fillId="0" borderId="0" xfId="0" applyNumberFormat="1"/>
    <xf numFmtId="0" fontId="0" fillId="0" borderId="0" xfId="0" applyAlignment="1">
      <alignment wrapText="1"/>
    </xf>
    <xf numFmtId="0" fontId="6" fillId="18" borderId="0" xfId="0" applyFont="1" applyFill="1" applyAlignment="1">
      <alignment horizontal="left"/>
    </xf>
    <xf numFmtId="164" fontId="34" fillId="5" borderId="2" xfId="0" applyNumberFormat="1" applyFont="1" applyFill="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horizontal="left" vertical="center" indent="1"/>
    </xf>
    <xf numFmtId="0" fontId="2" fillId="2" borderId="1" xfId="0" applyFont="1" applyFill="1" applyBorder="1" applyAlignment="1">
      <alignment horizontal="center" vertical="center" wrapText="1"/>
    </xf>
    <xf numFmtId="0" fontId="2" fillId="3" borderId="0" xfId="0" applyFont="1" applyFill="1" applyAlignment="1">
      <alignment horizontal="center" vertical="center"/>
    </xf>
    <xf numFmtId="0" fontId="10" fillId="6" borderId="0" xfId="0" applyFont="1" applyFill="1" applyAlignment="1">
      <alignment horizontal="left" vertical="center" indent="1"/>
    </xf>
    <xf numFmtId="164" fontId="10" fillId="6" borderId="2" xfId="0" applyNumberFormat="1" applyFont="1" applyFill="1" applyBorder="1" applyAlignment="1">
      <alignment horizontal="right" vertical="center"/>
    </xf>
    <xf numFmtId="0" fontId="10" fillId="5" borderId="0" xfId="0" applyFont="1" applyFill="1" applyAlignment="1">
      <alignment horizontal="left" vertical="center" indent="1"/>
    </xf>
    <xf numFmtId="164" fontId="10" fillId="5" borderId="2" xfId="0" applyNumberFormat="1" applyFont="1" applyFill="1" applyBorder="1" applyAlignment="1">
      <alignment horizontal="right" vertical="center"/>
    </xf>
    <xf numFmtId="0" fontId="10" fillId="19" borderId="0" xfId="0" applyFont="1" applyFill="1" applyAlignment="1">
      <alignment horizontal="left" vertical="center" indent="1"/>
    </xf>
    <xf numFmtId="164" fontId="10" fillId="19" borderId="17" xfId="0" applyNumberFormat="1" applyFont="1" applyFill="1" applyBorder="1" applyAlignment="1">
      <alignment horizontal="right" vertical="center"/>
    </xf>
    <xf numFmtId="0" fontId="2" fillId="9" borderId="4" xfId="0" applyFont="1" applyFill="1" applyBorder="1" applyAlignment="1">
      <alignment vertical="center"/>
    </xf>
    <xf numFmtId="164" fontId="2" fillId="9" borderId="3" xfId="0" applyNumberFormat="1" applyFont="1" applyFill="1" applyBorder="1" applyAlignment="1">
      <alignment horizontal="right" vertical="center"/>
    </xf>
    <xf numFmtId="164" fontId="10" fillId="6" borderId="17" xfId="0" applyNumberFormat="1" applyFont="1" applyFill="1" applyBorder="1" applyAlignment="1">
      <alignment horizontal="right" vertical="center"/>
    </xf>
    <xf numFmtId="0" fontId="10" fillId="17" borderId="0" xfId="0" applyFont="1" applyFill="1" applyAlignment="1">
      <alignment horizontal="left" vertical="center" indent="1"/>
    </xf>
    <xf numFmtId="164" fontId="10" fillId="17" borderId="17" xfId="0" applyNumberFormat="1" applyFont="1" applyFill="1" applyBorder="1" applyAlignment="1">
      <alignment horizontal="right" vertical="center"/>
    </xf>
    <xf numFmtId="164" fontId="10" fillId="17" borderId="2" xfId="0" applyNumberFormat="1" applyFont="1" applyFill="1" applyBorder="1" applyAlignment="1">
      <alignment horizontal="right" vertical="center"/>
    </xf>
    <xf numFmtId="0" fontId="2" fillId="2" borderId="5" xfId="0" applyFont="1" applyFill="1" applyBorder="1" applyAlignment="1">
      <alignment vertical="center"/>
    </xf>
    <xf numFmtId="164" fontId="2" fillId="2" borderId="6" xfId="0" applyNumberFormat="1" applyFont="1" applyFill="1" applyBorder="1" applyAlignment="1">
      <alignment horizontal="right" vertical="center"/>
    </xf>
    <xf numFmtId="164" fontId="29" fillId="10" borderId="2" xfId="0" applyNumberFormat="1" applyFont="1" applyFill="1" applyBorder="1" applyAlignment="1">
      <alignment horizontal="right" vertical="center"/>
    </xf>
    <xf numFmtId="9" fontId="29" fillId="10" borderId="2" xfId="1" applyFont="1" applyFill="1" applyBorder="1" applyAlignment="1">
      <alignment horizontal="right" vertical="center"/>
    </xf>
    <xf numFmtId="0" fontId="29" fillId="10" borderId="14" xfId="0" applyFont="1" applyFill="1" applyBorder="1" applyAlignment="1">
      <alignment horizontal="left" vertical="center" indent="1"/>
    </xf>
    <xf numFmtId="0" fontId="36" fillId="19" borderId="0" xfId="0" applyFont="1" applyFill="1" applyAlignment="1">
      <alignment horizontal="left" vertical="center" indent="1"/>
    </xf>
    <xf numFmtId="0" fontId="37" fillId="8" borderId="8" xfId="0" applyFont="1" applyFill="1" applyBorder="1" applyAlignment="1">
      <alignment horizontal="left" vertical="center" indent="1"/>
    </xf>
    <xf numFmtId="0" fontId="37" fillId="8" borderId="9" xfId="0" applyFont="1" applyFill="1" applyBorder="1" applyAlignment="1">
      <alignment horizontal="left" vertical="center" indent="1"/>
    </xf>
    <xf numFmtId="164" fontId="38" fillId="8" borderId="9" xfId="0" applyNumberFormat="1" applyFont="1" applyFill="1" applyBorder="1" applyAlignment="1">
      <alignment horizontal="right" vertical="center"/>
    </xf>
    <xf numFmtId="164" fontId="37" fillId="8" borderId="10" xfId="0" applyNumberFormat="1" applyFont="1" applyFill="1" applyBorder="1" applyAlignment="1">
      <alignment horizontal="right" vertical="center"/>
    </xf>
    <xf numFmtId="0" fontId="39" fillId="6" borderId="11" xfId="0" applyFont="1" applyFill="1" applyBorder="1" applyAlignment="1">
      <alignment horizontal="left" vertical="center" indent="1"/>
    </xf>
    <xf numFmtId="0" fontId="38" fillId="6" borderId="2" xfId="0" applyFont="1" applyFill="1" applyBorder="1" applyAlignment="1">
      <alignment horizontal="left" vertical="center" indent="1"/>
    </xf>
    <xf numFmtId="164" fontId="40" fillId="6" borderId="2" xfId="0" applyNumberFormat="1" applyFont="1" applyFill="1" applyBorder="1" applyAlignment="1">
      <alignment horizontal="right" vertical="center"/>
    </xf>
    <xf numFmtId="164" fontId="38" fillId="6" borderId="12" xfId="0" applyNumberFormat="1" applyFont="1" applyFill="1" applyBorder="1" applyAlignment="1">
      <alignment horizontal="right" vertical="center"/>
    </xf>
    <xf numFmtId="0" fontId="39" fillId="7" borderId="11" xfId="0" applyFont="1" applyFill="1" applyBorder="1" applyAlignment="1">
      <alignment horizontal="left" vertical="center" indent="1"/>
    </xf>
    <xf numFmtId="0" fontId="38" fillId="7" borderId="2" xfId="0" applyFont="1" applyFill="1" applyBorder="1" applyAlignment="1">
      <alignment horizontal="left" vertical="center" indent="1"/>
    </xf>
    <xf numFmtId="164" fontId="41" fillId="7" borderId="2" xfId="0" applyNumberFormat="1" applyFont="1" applyFill="1" applyBorder="1" applyAlignment="1">
      <alignment horizontal="right" vertical="center"/>
    </xf>
    <xf numFmtId="164" fontId="37" fillId="7" borderId="12" xfId="0" applyNumberFormat="1" applyFont="1" applyFill="1" applyBorder="1" applyAlignment="1">
      <alignment horizontal="right" vertical="center"/>
    </xf>
    <xf numFmtId="0" fontId="39" fillId="10" borderId="11" xfId="0" applyFont="1" applyFill="1" applyBorder="1" applyAlignment="1">
      <alignment horizontal="left" vertical="center" indent="1"/>
    </xf>
    <xf numFmtId="0" fontId="42" fillId="10" borderId="2" xfId="0" applyFont="1" applyFill="1" applyBorder="1" applyAlignment="1">
      <alignment horizontal="left" vertical="center" indent="1"/>
    </xf>
    <xf numFmtId="164" fontId="42" fillId="10" borderId="2" xfId="0" applyNumberFormat="1" applyFont="1" applyFill="1" applyBorder="1" applyAlignment="1">
      <alignment horizontal="right" vertical="center"/>
    </xf>
    <xf numFmtId="9" fontId="42" fillId="10" borderId="2" xfId="1" applyFont="1" applyFill="1" applyBorder="1" applyAlignment="1">
      <alignment horizontal="right" vertical="center"/>
    </xf>
    <xf numFmtId="0" fontId="39" fillId="10" borderId="13" xfId="0" applyFont="1" applyFill="1" applyBorder="1" applyAlignment="1">
      <alignment horizontal="left" vertical="center" indent="1"/>
    </xf>
    <xf numFmtId="0" fontId="42" fillId="10" borderId="14" xfId="0" applyFont="1" applyFill="1" applyBorder="1" applyAlignment="1">
      <alignment horizontal="left" vertical="center" indent="1"/>
    </xf>
    <xf numFmtId="168" fontId="0" fillId="13" borderId="0" xfId="0" applyNumberFormat="1" applyFill="1" applyAlignment="1">
      <alignment horizontal="center" wrapText="1"/>
    </xf>
    <xf numFmtId="0" fontId="0" fillId="13" borderId="0" xfId="0" quotePrefix="1" applyFill="1"/>
    <xf numFmtId="0" fontId="0" fillId="13" borderId="0" xfId="0" quotePrefix="1" applyFill="1" applyAlignment="1">
      <alignment horizontal="left" wrapText="1"/>
    </xf>
    <xf numFmtId="0" fontId="45" fillId="26" borderId="28" xfId="0" applyFont="1" applyFill="1" applyBorder="1" applyAlignment="1">
      <alignment horizontal="center"/>
    </xf>
    <xf numFmtId="0" fontId="45" fillId="26" borderId="29" xfId="0" applyFont="1" applyFill="1" applyBorder="1" applyAlignment="1">
      <alignment horizontal="center"/>
    </xf>
    <xf numFmtId="0" fontId="45" fillId="26" borderId="30" xfId="0" applyFont="1" applyFill="1" applyBorder="1" applyAlignment="1">
      <alignment horizontal="center"/>
    </xf>
    <xf numFmtId="0" fontId="45" fillId="26" borderId="31" xfId="0" applyFont="1" applyFill="1" applyBorder="1" applyAlignment="1">
      <alignment horizontal="center"/>
    </xf>
    <xf numFmtId="169" fontId="43" fillId="27" borderId="22" xfId="0" applyNumberFormat="1" applyFont="1" applyFill="1" applyBorder="1" applyAlignment="1">
      <alignment horizontal="center"/>
    </xf>
    <xf numFmtId="169" fontId="43" fillId="27" borderId="23" xfId="0" applyNumberFormat="1" applyFont="1" applyFill="1" applyBorder="1" applyAlignment="1">
      <alignment horizontal="center"/>
    </xf>
    <xf numFmtId="169" fontId="0" fillId="27" borderId="32" xfId="0" applyNumberFormat="1" applyFill="1" applyBorder="1"/>
    <xf numFmtId="169" fontId="0" fillId="27" borderId="33" xfId="0" applyNumberFormat="1" applyFill="1" applyBorder="1"/>
    <xf numFmtId="0" fontId="46" fillId="0" borderId="34" xfId="0" applyFont="1" applyBorder="1"/>
    <xf numFmtId="169" fontId="0" fillId="23" borderId="35" xfId="0" applyNumberFormat="1" applyFill="1" applyBorder="1"/>
    <xf numFmtId="169" fontId="0" fillId="23" borderId="36" xfId="0" applyNumberFormat="1" applyFill="1" applyBorder="1"/>
    <xf numFmtId="169" fontId="0" fillId="29" borderId="37" xfId="0" applyNumberFormat="1" applyFill="1" applyBorder="1"/>
    <xf numFmtId="169" fontId="0" fillId="23" borderId="38" xfId="0" applyNumberFormat="1" applyFill="1" applyBorder="1"/>
    <xf numFmtId="0" fontId="47" fillId="0" borderId="40" xfId="0" applyFont="1" applyBorder="1" applyAlignment="1" applyProtection="1">
      <alignment horizontal="center"/>
      <protection locked="0"/>
    </xf>
    <xf numFmtId="169" fontId="0" fillId="13" borderId="41" xfId="0" applyNumberFormat="1" applyFill="1" applyBorder="1"/>
    <xf numFmtId="169" fontId="0" fillId="13" borderId="42" xfId="0" applyNumberFormat="1" applyFill="1" applyBorder="1"/>
    <xf numFmtId="169" fontId="0" fillId="13" borderId="43" xfId="0" applyNumberFormat="1" applyFill="1" applyBorder="1"/>
    <xf numFmtId="170" fontId="48" fillId="13" borderId="0" xfId="0" applyNumberFormat="1" applyFont="1" applyFill="1" applyAlignment="1">
      <alignment horizontal="center"/>
    </xf>
    <xf numFmtId="169" fontId="0" fillId="30" borderId="43" xfId="0" applyNumberFormat="1" applyFill="1" applyBorder="1"/>
    <xf numFmtId="169" fontId="0" fillId="13" borderId="44" xfId="0" applyNumberFormat="1" applyFill="1" applyBorder="1"/>
    <xf numFmtId="0" fontId="46" fillId="0" borderId="45" xfId="0" applyFont="1" applyBorder="1"/>
    <xf numFmtId="169" fontId="0" fillId="23" borderId="41" xfId="0" applyNumberFormat="1" applyFill="1" applyBorder="1"/>
    <xf numFmtId="169" fontId="0" fillId="23" borderId="42" xfId="0" applyNumberFormat="1" applyFill="1" applyBorder="1"/>
    <xf numFmtId="169" fontId="0" fillId="23" borderId="43" xfId="0" applyNumberFormat="1" applyFill="1" applyBorder="1"/>
    <xf numFmtId="169" fontId="0" fillId="29" borderId="43" xfId="0" applyNumberFormat="1" applyFill="1" applyBorder="1"/>
    <xf numFmtId="169" fontId="0" fillId="23" borderId="44" xfId="0" applyNumberFormat="1" applyFill="1" applyBorder="1"/>
    <xf numFmtId="0" fontId="46" fillId="0" borderId="46" xfId="0" applyFont="1" applyBorder="1"/>
    <xf numFmtId="169" fontId="0" fillId="23" borderId="47" xfId="0" applyNumberFormat="1" applyFill="1" applyBorder="1"/>
    <xf numFmtId="169" fontId="0" fillId="23" borderId="48" xfId="0" applyNumberFormat="1" applyFill="1" applyBorder="1"/>
    <xf numFmtId="169" fontId="0" fillId="23" borderId="49" xfId="0" applyNumberFormat="1" applyFill="1" applyBorder="1"/>
    <xf numFmtId="169" fontId="0" fillId="29" borderId="49" xfId="0" applyNumberFormat="1" applyFill="1" applyBorder="1"/>
    <xf numFmtId="169" fontId="0" fillId="30" borderId="49" xfId="0" applyNumberFormat="1" applyFill="1" applyBorder="1"/>
    <xf numFmtId="169" fontId="0" fillId="23" borderId="50" xfId="0" applyNumberFormat="1" applyFill="1" applyBorder="1"/>
    <xf numFmtId="0" fontId="14" fillId="2" borderId="0" xfId="0" applyFont="1" applyFill="1" applyAlignment="1">
      <alignment horizontal="left" vertical="center" indent="2"/>
    </xf>
    <xf numFmtId="0" fontId="17" fillId="2" borderId="0" xfId="0" applyFont="1" applyFill="1" applyAlignment="1">
      <alignment horizontal="left" vertical="center" indent="2"/>
    </xf>
    <xf numFmtId="0" fontId="13" fillId="2" borderId="0" xfId="0" applyFont="1" applyFill="1" applyAlignment="1">
      <alignment horizontal="left" vertical="center" indent="1"/>
    </xf>
    <xf numFmtId="0" fontId="13" fillId="2" borderId="16" xfId="0" applyFont="1" applyFill="1" applyBorder="1" applyAlignment="1">
      <alignment horizontal="left" vertical="center" indent="1"/>
    </xf>
    <xf numFmtId="0" fontId="2" fillId="3" borderId="0" xfId="0" applyFont="1" applyFill="1" applyAlignment="1">
      <alignment horizontal="left" vertical="center" indent="2"/>
    </xf>
    <xf numFmtId="0" fontId="1" fillId="2" borderId="0" xfId="0" applyFont="1" applyFill="1" applyAlignment="1">
      <alignment horizontal="left" vertical="center" indent="2"/>
    </xf>
    <xf numFmtId="0" fontId="16" fillId="2" borderId="0" xfId="0" applyFont="1" applyFill="1" applyAlignment="1">
      <alignment horizontal="left" vertical="center" indent="2"/>
    </xf>
    <xf numFmtId="0" fontId="19" fillId="2" borderId="0" xfId="0" applyFont="1" applyFill="1" applyAlignment="1">
      <alignment horizontal="left" vertical="center" indent="2"/>
    </xf>
    <xf numFmtId="0" fontId="18" fillId="9" borderId="0" xfId="0" applyFont="1" applyFill="1" applyAlignment="1">
      <alignment horizontal="left" vertical="center" indent="2"/>
    </xf>
    <xf numFmtId="0" fontId="31" fillId="4" borderId="0" xfId="0" applyFont="1" applyFill="1" applyAlignment="1">
      <alignment horizontal="left" vertical="center"/>
    </xf>
    <xf numFmtId="0" fontId="18" fillId="21" borderId="0" xfId="0" applyFont="1" applyFill="1" applyAlignment="1">
      <alignment horizontal="left" vertical="center" indent="2"/>
    </xf>
    <xf numFmtId="0" fontId="9" fillId="21" borderId="0" xfId="0" applyFont="1" applyFill="1" applyAlignment="1">
      <alignment horizontal="left" vertical="center" indent="2"/>
    </xf>
    <xf numFmtId="0" fontId="9" fillId="3" borderId="0" xfId="0" applyFont="1" applyFill="1" applyAlignment="1">
      <alignment horizontal="left" vertical="center" indent="2"/>
    </xf>
    <xf numFmtId="0" fontId="8" fillId="2" borderId="0" xfId="0" applyFont="1" applyFill="1" applyAlignment="1">
      <alignment horizontal="left" vertical="center" indent="2"/>
    </xf>
    <xf numFmtId="0" fontId="9" fillId="22" borderId="0" xfId="0" applyFont="1" applyFill="1" applyAlignment="1">
      <alignment horizontal="left" vertical="center" indent="2"/>
    </xf>
    <xf numFmtId="0" fontId="18" fillId="21" borderId="21" xfId="0" applyFont="1" applyFill="1" applyBorder="1" applyAlignment="1">
      <alignment horizontal="left" vertical="center" indent="2"/>
    </xf>
    <xf numFmtId="0" fontId="2" fillId="2" borderId="0" xfId="0" applyFont="1" applyFill="1" applyAlignment="1">
      <alignment horizontal="left" vertical="center" indent="2"/>
    </xf>
    <xf numFmtId="0" fontId="43" fillId="23" borderId="24" xfId="0" applyFont="1" applyFill="1" applyBorder="1" applyAlignment="1">
      <alignment horizontal="center"/>
    </xf>
    <xf numFmtId="0" fontId="43" fillId="24" borderId="25" xfId="0" applyFont="1" applyFill="1" applyBorder="1" applyAlignment="1">
      <alignment horizontal="center"/>
    </xf>
    <xf numFmtId="0" fontId="43" fillId="24" borderId="24" xfId="0" applyFont="1" applyFill="1" applyBorder="1" applyAlignment="1">
      <alignment horizontal="center"/>
    </xf>
    <xf numFmtId="0" fontId="43" fillId="24" borderId="26" xfId="0" applyFont="1" applyFill="1" applyBorder="1" applyAlignment="1">
      <alignment horizontal="center"/>
    </xf>
    <xf numFmtId="0" fontId="44" fillId="25" borderId="22" xfId="0" applyFont="1" applyFill="1" applyBorder="1" applyAlignment="1">
      <alignment horizontal="center"/>
    </xf>
    <xf numFmtId="0" fontId="44" fillId="25" borderId="23" xfId="0" applyFont="1" applyFill="1" applyBorder="1" applyAlignment="1">
      <alignment horizontal="center"/>
    </xf>
    <xf numFmtId="0" fontId="44" fillId="25" borderId="25" xfId="0" applyFont="1" applyFill="1" applyBorder="1" applyAlignment="1">
      <alignment horizontal="center"/>
    </xf>
    <xf numFmtId="0" fontId="44" fillId="25" borderId="24" xfId="0" applyFont="1" applyFill="1" applyBorder="1" applyAlignment="1">
      <alignment horizontal="center"/>
    </xf>
    <xf numFmtId="0" fontId="44" fillId="25" borderId="26" xfId="0" applyFont="1" applyFill="1" applyBorder="1" applyAlignment="1">
      <alignment horizontal="center"/>
    </xf>
    <xf numFmtId="0" fontId="44" fillId="25" borderId="27" xfId="0" applyFont="1" applyFill="1" applyBorder="1" applyAlignment="1">
      <alignment horizontal="center"/>
    </xf>
    <xf numFmtId="0" fontId="43" fillId="23" borderId="22" xfId="0" applyFont="1" applyFill="1" applyBorder="1" applyAlignment="1">
      <alignment horizontal="center"/>
    </xf>
    <xf numFmtId="0" fontId="43" fillId="23" borderId="23" xfId="0" applyFont="1" applyFill="1" applyBorder="1" applyAlignment="1">
      <alignment horizontal="center"/>
    </xf>
    <xf numFmtId="0" fontId="43" fillId="28" borderId="22" xfId="0" applyFont="1" applyFill="1" applyBorder="1" applyAlignment="1">
      <alignment horizontal="center" vertical="center" textRotation="90" wrapText="1"/>
    </xf>
    <xf numFmtId="0" fontId="43" fillId="28" borderId="39" xfId="0" applyFont="1" applyFill="1" applyBorder="1" applyAlignment="1">
      <alignment horizontal="center" vertical="center" textRotation="90" wrapText="1"/>
    </xf>
    <xf numFmtId="0" fontId="43" fillId="28" borderId="46" xfId="0" applyFont="1" applyFill="1" applyBorder="1" applyAlignment="1">
      <alignment horizontal="center" vertical="center" textRotation="90" wrapText="1"/>
    </xf>
    <xf numFmtId="0" fontId="23" fillId="2" borderId="0" xfId="0" applyFont="1" applyFill="1" applyAlignment="1">
      <alignment horizontal="left" vertical="center" indent="2"/>
    </xf>
  </cellXfs>
  <cellStyles count="4">
    <cellStyle name="Currency" xfId="2" builtinId="4"/>
    <cellStyle name="Hyperlink" xfId="3" builtinId="8"/>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F0F7FF"/>
      <rgbColor rgb="FF808080"/>
      <rgbColor rgb="FF9999FF"/>
      <rgbColor rgb="FF5C4400"/>
      <rgbColor rgb="FFFFF9C4"/>
      <rgbColor rgb="FFE0F4F1"/>
      <rgbColor rgb="FF660066"/>
      <rgbColor rgb="FFFF8080"/>
      <rgbColor rgb="FF1A6FAF"/>
      <rgbColor rgb="FFDEDEDE"/>
      <rgbColor rgb="FF000080"/>
      <rgbColor rgb="FFFF00FF"/>
      <rgbColor rgb="FFFFFF00"/>
      <rgbColor rgb="FF00FFFF"/>
      <rgbColor rgb="FF800080"/>
      <rgbColor rgb="FF800000"/>
      <rgbColor rgb="FF008080"/>
      <rgbColor rgb="FF0000FF"/>
      <rgbColor rgb="FF00CCFF"/>
      <rgbColor rgb="FFEBF4FB"/>
      <rgbColor rgb="FFF2F2F2"/>
      <rgbColor rgb="FFFAFAFA"/>
      <rgbColor rgb="FFAACCEE"/>
      <rgbColor rgb="FFFF99CC"/>
      <rgbColor rgb="FFCC99FF"/>
      <rgbColor rgb="FFF0F4FA"/>
      <rgbColor rgb="FF3366FF"/>
      <rgbColor rgb="FF33CCCC"/>
      <rgbColor rgb="FF99CC00"/>
      <rgbColor rgb="FFFFCC00"/>
      <rgbColor rgb="FFFF9900"/>
      <rgbColor rgb="FFFF6600"/>
      <rgbColor rgb="FF6B6B6B"/>
      <rgbColor rgb="FF8AACC8"/>
      <rgbColor rgb="FF1A2639"/>
      <rgbColor rgb="FF339966"/>
      <rgbColor rgb="FF1C1C1C"/>
      <rgbColor rgb="FF222222"/>
      <rgbColor rgb="FF922B21"/>
      <rgbColor rgb="FF993366"/>
      <rgbColor rgb="FF444444"/>
      <rgbColor rgb="FF2C3E5D"/>
      <rgbColor rgb="00003366"/>
      <rgbColor rgb="00339966"/>
      <rgbColor rgb="00003300"/>
      <rgbColor rgb="00333300"/>
      <rgbColor rgb="00993300"/>
      <rgbColor rgb="00993366"/>
      <rgbColor rgb="00333399"/>
      <rgbColor rgb="00333333"/>
    </indexedColors>
    <mruColors>
      <color rgb="FF030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brian_roth_gdcgroup_com/Documents/2025%20NA%20Revenue%20&amp;%20Forecasting.xlsx" TargetMode="External"/><Relationship Id="rId1" Type="http://schemas.openxmlformats.org/officeDocument/2006/relationships/externalLinkPath" Target="/personal/brian_roth_gdcgroup_com/Documents/2025%20NA%20Revenue%20&amp;%20Forecas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lookup"/>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Brian Roth" id="{4F60800F-D311-46FC-9477-D9286C318F6C}" userId="S::brian.roth@gdcgroup.com::ef934d0b-b772-4824-9547-4cd39d13724a"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6" dT="2026-04-15T15:35:07.55" personId="{4F60800F-D311-46FC-9477-D9286C318F6C}" id="{36083320-1250-4524-BC90-E5BB71D60308}">
    <text>Commercial missed negative rev share from William Hill for March which swing about $150K in revenue.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A2F80E-DE0A-4E60-A8D9-0774D95E2813}">
  <we:reference id="WA200009404" version="1.0.0.8" store="en-us" storeType="omex"/>
  <we:alternateReferences>
    <we:reference id="WA200009404" version="1.0.0.8" store="en-us" storeType="omex"/>
  </we:alternateReferences>
  <we:properties>
    <we:property name="claude.fileId" value="&quot;fa00f16f-afea-4bd2-abf5-f861658e04d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C21"/>
  <sheetViews>
    <sheetView showGridLines="0" zoomScale="85" zoomScaleNormal="85" workbookViewId="0">
      <selection activeCell="C15" sqref="C15"/>
    </sheetView>
    <sheetView workbookViewId="1">
      <selection activeCell="B14" sqref="B14"/>
    </sheetView>
  </sheetViews>
  <sheetFormatPr defaultColWidth="8.7109375" defaultRowHeight="15"/>
  <cols>
    <col min="1" max="1" width="2" customWidth="1"/>
    <col min="2" max="2" width="30" customWidth="1"/>
    <col min="3" max="3" width="70.140625" customWidth="1"/>
  </cols>
  <sheetData>
    <row r="1" spans="2:3" ht="24.95">
      <c r="B1" s="216" t="s">
        <v>0</v>
      </c>
      <c r="C1" s="216"/>
    </row>
    <row r="2" spans="2:3" ht="20.25" customHeight="1">
      <c r="B2" s="217" t="s">
        <v>1</v>
      </c>
      <c r="C2" s="217"/>
    </row>
    <row r="3" spans="2:3" ht="27.75" customHeight="1">
      <c r="B3" s="215" t="s">
        <v>2</v>
      </c>
      <c r="C3" s="215"/>
    </row>
    <row r="4" spans="2:3" ht="34.35" customHeight="1">
      <c r="B4" s="3" t="s">
        <v>3</v>
      </c>
      <c r="C4" s="4" t="s">
        <v>4</v>
      </c>
    </row>
    <row r="5" spans="2:3" ht="43.35" customHeight="1">
      <c r="B5" s="2" t="s">
        <v>5</v>
      </c>
      <c r="C5" s="5" t="s">
        <v>6</v>
      </c>
    </row>
    <row r="6" spans="2:3" ht="36" customHeight="1">
      <c r="B6" s="3" t="s">
        <v>7</v>
      </c>
      <c r="C6" s="4" t="s">
        <v>8</v>
      </c>
    </row>
    <row r="7" spans="2:3" ht="30" customHeight="1">
      <c r="B7" s="215" t="s">
        <v>9</v>
      </c>
      <c r="C7" s="215"/>
    </row>
    <row r="8" spans="2:3" ht="36.75" customHeight="1">
      <c r="B8" s="2" t="s">
        <v>10</v>
      </c>
      <c r="C8" s="5" t="s">
        <v>11</v>
      </c>
    </row>
    <row r="9" spans="2:3" ht="38.25" customHeight="1">
      <c r="B9" s="6" t="s">
        <v>12</v>
      </c>
      <c r="C9" s="7" t="s">
        <v>13</v>
      </c>
    </row>
    <row r="10" spans="2:3" ht="31.5" customHeight="1">
      <c r="B10" s="2" t="s">
        <v>14</v>
      </c>
      <c r="C10" s="5" t="s">
        <v>15</v>
      </c>
    </row>
    <row r="11" spans="2:3" ht="45.75" customHeight="1">
      <c r="B11" s="8" t="s">
        <v>16</v>
      </c>
      <c r="C11" s="9" t="s">
        <v>17</v>
      </c>
    </row>
    <row r="12" spans="2:3" ht="35.25" customHeight="1">
      <c r="B12" s="215" t="s">
        <v>18</v>
      </c>
      <c r="C12" s="215"/>
    </row>
    <row r="13" spans="2:3" ht="21.75" customHeight="1">
      <c r="B13" s="3" t="s">
        <v>19</v>
      </c>
      <c r="C13" s="4" t="s">
        <v>20</v>
      </c>
    </row>
    <row r="14" spans="2:3" ht="21.75" customHeight="1">
      <c r="B14" s="2" t="s">
        <v>21</v>
      </c>
      <c r="C14" s="5" t="s">
        <v>22</v>
      </c>
    </row>
    <row r="15" spans="2:3" ht="21.75" customHeight="1">
      <c r="B15" s="3" t="s">
        <v>23</v>
      </c>
      <c r="C15" s="4" t="s">
        <v>24</v>
      </c>
    </row>
    <row r="16" spans="2:3" ht="21.75" customHeight="1">
      <c r="B16" s="2" t="s">
        <v>25</v>
      </c>
      <c r="C16" s="5" t="s">
        <v>26</v>
      </c>
    </row>
    <row r="17" spans="2:3" ht="21.75" customHeight="1">
      <c r="B17" s="3" t="s">
        <v>27</v>
      </c>
      <c r="C17" s="4" t="s">
        <v>28</v>
      </c>
    </row>
    <row r="18" spans="2:3" ht="21.75" customHeight="1">
      <c r="B18" s="2" t="s">
        <v>29</v>
      </c>
      <c r="C18" s="5" t="s">
        <v>30</v>
      </c>
    </row>
    <row r="19" spans="2:3" ht="21.75" customHeight="1">
      <c r="B19" s="3" t="s">
        <v>31</v>
      </c>
      <c r="C19" s="4" t="s">
        <v>32</v>
      </c>
    </row>
    <row r="20" spans="2:3" ht="21.75" customHeight="1">
      <c r="B20" s="2" t="s">
        <v>33</v>
      </c>
      <c r="C20" s="5" t="s">
        <v>34</v>
      </c>
    </row>
    <row r="21" spans="2:3" ht="21.75" customHeight="1">
      <c r="B21" s="3" t="s">
        <v>35</v>
      </c>
      <c r="C21" s="4" t="s">
        <v>36</v>
      </c>
    </row>
  </sheetData>
  <mergeCells count="5">
    <mergeCell ref="B12:C12"/>
    <mergeCell ref="B1:C1"/>
    <mergeCell ref="B2:C2"/>
    <mergeCell ref="B3:C3"/>
    <mergeCell ref="B7:C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182"/>
  <sheetViews>
    <sheetView showGridLines="0" zoomScale="70" zoomScaleNormal="70" workbookViewId="0">
      <pane xSplit="3" ySplit="4" topLeftCell="D5" activePane="bottomRight" state="frozen"/>
      <selection pane="bottomRight" activeCell="N22" sqref="N22"/>
      <selection pane="bottomLeft" activeCell="A3" sqref="A3:XFD37"/>
      <selection pane="topRight" activeCell="A3" sqref="A3:XFD37"/>
    </sheetView>
    <sheetView tabSelected="1" workbookViewId="1">
      <pane ySplit="3" topLeftCell="A82" activePane="bottomLeft" state="frozen"/>
      <selection pane="bottomLeft" activeCell="D105" sqref="D105"/>
    </sheetView>
  </sheetViews>
  <sheetFormatPr defaultColWidth="8.7109375" defaultRowHeight="15"/>
  <cols>
    <col min="1" max="1" width="22" customWidth="1"/>
    <col min="2" max="2" width="24" customWidth="1"/>
    <col min="3" max="3" width="16" customWidth="1"/>
    <col min="4" max="15" width="11.42578125" customWidth="1"/>
    <col min="16" max="16" width="13" customWidth="1"/>
    <col min="17" max="17" width="36.5703125" bestFit="1" customWidth="1"/>
  </cols>
  <sheetData>
    <row r="1" spans="1:17" ht="24.95">
      <c r="A1" s="216" t="s">
        <v>37</v>
      </c>
      <c r="B1" s="216"/>
      <c r="C1" s="216"/>
      <c r="D1" s="216"/>
      <c r="E1" s="216"/>
      <c r="F1" s="216"/>
      <c r="G1" s="216"/>
      <c r="H1" s="216"/>
      <c r="I1" s="216"/>
      <c r="J1" s="216"/>
      <c r="K1" s="216"/>
      <c r="L1" s="216"/>
      <c r="M1" s="216"/>
      <c r="N1" s="216"/>
      <c r="O1" s="216"/>
      <c r="P1" s="216"/>
    </row>
    <row r="2" spans="1:17" s="36" customFormat="1" ht="15.95">
      <c r="A2" s="218" t="s">
        <v>38</v>
      </c>
      <c r="B2" s="218"/>
      <c r="C2" s="218"/>
      <c r="D2" s="218"/>
      <c r="E2" s="218"/>
      <c r="F2" s="218"/>
      <c r="G2" s="218"/>
      <c r="H2" s="218"/>
      <c r="I2" s="218"/>
      <c r="J2" s="218"/>
      <c r="K2" s="218"/>
      <c r="L2" s="218"/>
      <c r="M2" s="218"/>
      <c r="N2" s="218"/>
      <c r="O2" s="218"/>
      <c r="P2" s="218"/>
    </row>
    <row r="3" spans="1:17">
      <c r="A3" s="10" t="s">
        <v>39</v>
      </c>
      <c r="B3" s="10" t="s">
        <v>40</v>
      </c>
      <c r="C3" s="10" t="s">
        <v>41</v>
      </c>
      <c r="D3" s="10" t="s">
        <v>42</v>
      </c>
      <c r="E3" s="10" t="s">
        <v>43</v>
      </c>
      <c r="F3" s="10" t="s">
        <v>44</v>
      </c>
      <c r="G3" s="10" t="s">
        <v>45</v>
      </c>
      <c r="H3" s="10" t="s">
        <v>46</v>
      </c>
      <c r="I3" s="10" t="s">
        <v>47</v>
      </c>
      <c r="J3" s="10" t="s">
        <v>48</v>
      </c>
      <c r="K3" s="10" t="s">
        <v>49</v>
      </c>
      <c r="L3" s="10" t="s">
        <v>50</v>
      </c>
      <c r="M3" s="10" t="s">
        <v>51</v>
      </c>
      <c r="N3" s="10" t="s">
        <v>52</v>
      </c>
      <c r="O3" s="10" t="s">
        <v>53</v>
      </c>
      <c r="P3" s="10" t="s">
        <v>54</v>
      </c>
    </row>
    <row r="4" spans="1:17">
      <c r="A4" s="37" t="s">
        <v>55</v>
      </c>
      <c r="B4" s="37"/>
      <c r="C4" s="37"/>
      <c r="D4" s="37"/>
      <c r="E4" s="37"/>
      <c r="F4" s="37"/>
      <c r="G4" s="37"/>
      <c r="H4" s="37"/>
      <c r="I4" s="37"/>
      <c r="J4" s="37"/>
      <c r="K4" s="37"/>
      <c r="L4" s="37"/>
      <c r="M4" s="37"/>
      <c r="N4" s="37"/>
      <c r="O4" s="37"/>
      <c r="P4" s="37"/>
    </row>
    <row r="5" spans="1:17" ht="16.5" customHeight="1">
      <c r="A5" s="11" t="s">
        <v>56</v>
      </c>
      <c r="B5" s="12" t="s">
        <v>57</v>
      </c>
      <c r="C5" s="12" t="s">
        <v>58</v>
      </c>
      <c r="D5" s="13">
        <v>474038.264264</v>
      </c>
      <c r="E5" s="13">
        <v>459134.71760600002</v>
      </c>
      <c r="F5" s="13">
        <v>552360.196367</v>
      </c>
      <c r="G5" s="13"/>
      <c r="H5" s="13"/>
      <c r="I5" s="13"/>
      <c r="J5" s="13"/>
      <c r="K5" s="13"/>
      <c r="L5" s="13"/>
      <c r="M5" s="13"/>
      <c r="N5" s="13"/>
      <c r="O5" s="13"/>
      <c r="P5" s="13">
        <f t="shared" ref="P5:P12" si="0">SUM(D5:O5)</f>
        <v>1485533.178237</v>
      </c>
    </row>
    <row r="6" spans="1:17" ht="16.5" customHeight="1">
      <c r="A6" s="14"/>
      <c r="B6" s="15" t="s">
        <v>57</v>
      </c>
      <c r="C6" s="16" t="s">
        <v>59</v>
      </c>
      <c r="D6" s="89">
        <v>484326</v>
      </c>
      <c r="E6" s="89">
        <f>446408-3000</f>
        <v>443408</v>
      </c>
      <c r="F6" s="89">
        <f>543544-10000+2000-4000</f>
        <v>531544</v>
      </c>
      <c r="G6" s="89">
        <f>478073-5000-14000</f>
        <v>459073</v>
      </c>
      <c r="H6" s="89">
        <f>462554-10000</f>
        <v>452554</v>
      </c>
      <c r="I6" s="89">
        <f>487438-9000</f>
        <v>478438</v>
      </c>
      <c r="J6" s="89">
        <f>482501+9000</f>
        <v>491501</v>
      </c>
      <c r="K6" s="89">
        <v>751620</v>
      </c>
      <c r="L6" s="89">
        <v>784277</v>
      </c>
      <c r="M6" s="89">
        <v>731746</v>
      </c>
      <c r="N6" s="89">
        <v>714855</v>
      </c>
      <c r="O6" s="89">
        <v>681276</v>
      </c>
      <c r="P6" s="90">
        <f t="shared" si="0"/>
        <v>7004618</v>
      </c>
    </row>
    <row r="7" spans="1:17" ht="16.5" customHeight="1">
      <c r="A7" s="18"/>
      <c r="B7" s="12" t="s">
        <v>60</v>
      </c>
      <c r="C7" s="12" t="s">
        <v>58</v>
      </c>
      <c r="D7" s="13">
        <v>111988.725114</v>
      </c>
      <c r="E7" s="13">
        <v>103856.796049</v>
      </c>
      <c r="F7" s="13">
        <v>134400.81461500001</v>
      </c>
      <c r="G7" s="13"/>
      <c r="H7" s="13"/>
      <c r="I7" s="13"/>
      <c r="J7" s="13"/>
      <c r="K7" s="13"/>
      <c r="L7" s="13"/>
      <c r="M7" s="13"/>
      <c r="N7" s="13"/>
      <c r="O7" s="13"/>
      <c r="P7" s="13">
        <f t="shared" si="0"/>
        <v>350246.33577800001</v>
      </c>
    </row>
    <row r="8" spans="1:17" ht="16.5" customHeight="1">
      <c r="A8" s="14"/>
      <c r="B8" s="15" t="s">
        <v>60</v>
      </c>
      <c r="C8" s="16" t="s">
        <v>59</v>
      </c>
      <c r="D8" s="89">
        <v>73000</v>
      </c>
      <c r="E8" s="89">
        <f>67000+12000</f>
        <v>79000</v>
      </c>
      <c r="F8" s="89">
        <f>104000+5000+6000</f>
        <v>115000</v>
      </c>
      <c r="G8" s="89">
        <v>114000</v>
      </c>
      <c r="H8" s="89">
        <v>79000</v>
      </c>
      <c r="I8" s="89">
        <v>74000</v>
      </c>
      <c r="J8" s="89">
        <v>82000</v>
      </c>
      <c r="K8" s="89">
        <v>124000</v>
      </c>
      <c r="L8" s="89">
        <v>124000</v>
      </c>
      <c r="M8" s="89">
        <v>107000</v>
      </c>
      <c r="N8" s="89">
        <v>124000</v>
      </c>
      <c r="O8" s="89">
        <v>124000</v>
      </c>
      <c r="P8" s="90">
        <f t="shared" si="0"/>
        <v>1219000</v>
      </c>
    </row>
    <row r="9" spans="1:17" ht="16.5" customHeight="1">
      <c r="A9" s="18"/>
      <c r="B9" s="12" t="s">
        <v>61</v>
      </c>
      <c r="C9" s="12" t="s">
        <v>58</v>
      </c>
      <c r="D9" s="13">
        <v>243987.31782600001</v>
      </c>
      <c r="E9" s="13">
        <v>236446.50021299999</v>
      </c>
      <c r="F9" s="13">
        <v>248430.63376299999</v>
      </c>
      <c r="G9" s="13"/>
      <c r="H9" s="13"/>
      <c r="I9" s="13"/>
      <c r="J9" s="13"/>
      <c r="K9" s="13"/>
      <c r="L9" s="13"/>
      <c r="M9" s="13"/>
      <c r="N9" s="13"/>
      <c r="O9" s="13"/>
      <c r="P9" s="13">
        <f t="shared" si="0"/>
        <v>728864.45180200005</v>
      </c>
      <c r="Q9" s="117" t="s">
        <v>62</v>
      </c>
    </row>
    <row r="10" spans="1:17" ht="16.5" customHeight="1">
      <c r="A10" s="14"/>
      <c r="B10" s="15" t="s">
        <v>61</v>
      </c>
      <c r="C10" s="16" t="s">
        <v>59</v>
      </c>
      <c r="D10" s="89">
        <v>273000</v>
      </c>
      <c r="E10" s="89">
        <f>274000-15000</f>
        <v>259000</v>
      </c>
      <c r="F10" s="89">
        <f>270000-8000-4000-10000</f>
        <v>248000</v>
      </c>
      <c r="G10" s="89">
        <f>291000-9000-15000-8000-5000</f>
        <v>254000</v>
      </c>
      <c r="H10" s="89">
        <f>302000-15000-10000-8000-5000</f>
        <v>264000</v>
      </c>
      <c r="I10" s="89">
        <f>317000-20000-8000-10000-5000</f>
        <v>274000</v>
      </c>
      <c r="J10" s="89">
        <f>321000-10000</f>
        <v>311000</v>
      </c>
      <c r="K10" s="89">
        <f>326000-5000</f>
        <v>321000</v>
      </c>
      <c r="L10" s="89">
        <f>329000-5000</f>
        <v>324000</v>
      </c>
      <c r="M10" s="89">
        <f>335000-5000</f>
        <v>330000</v>
      </c>
      <c r="N10" s="89">
        <f>338000-5000</f>
        <v>333000</v>
      </c>
      <c r="O10" s="89">
        <f>342000-5000</f>
        <v>337000</v>
      </c>
      <c r="P10" s="90">
        <f t="shared" si="0"/>
        <v>3528000</v>
      </c>
    </row>
    <row r="11" spans="1:17" ht="16.5" customHeight="1">
      <c r="A11" s="18"/>
      <c r="B11" s="12" t="s">
        <v>63</v>
      </c>
      <c r="C11" s="12" t="s">
        <v>58</v>
      </c>
      <c r="D11" s="13">
        <v>373629.35438099998</v>
      </c>
      <c r="E11" s="13">
        <v>478517.08681399998</v>
      </c>
      <c r="F11" s="13">
        <v>568834.07961300004</v>
      </c>
      <c r="G11" s="13"/>
      <c r="H11" s="13"/>
      <c r="I11" s="13"/>
      <c r="J11" s="13"/>
      <c r="K11" s="13"/>
      <c r="L11" s="13"/>
      <c r="M11" s="13"/>
      <c r="N11" s="13"/>
      <c r="O11" s="13"/>
      <c r="P11" s="13">
        <f t="shared" si="0"/>
        <v>1420980.5208080001</v>
      </c>
    </row>
    <row r="12" spans="1:17" ht="16.5" customHeight="1">
      <c r="A12" s="14"/>
      <c r="B12" s="15" t="s">
        <v>63</v>
      </c>
      <c r="C12" s="16" t="s">
        <v>59</v>
      </c>
      <c r="D12" s="89">
        <v>390000</v>
      </c>
      <c r="E12" s="89">
        <v>350000</v>
      </c>
      <c r="F12" s="89">
        <v>600000</v>
      </c>
      <c r="G12" s="89">
        <v>500000</v>
      </c>
      <c r="H12" s="89">
        <v>350000</v>
      </c>
      <c r="I12" s="89">
        <v>350000</v>
      </c>
      <c r="J12" s="89">
        <v>350000</v>
      </c>
      <c r="K12" s="89">
        <v>500000</v>
      </c>
      <c r="L12" s="89">
        <v>600000</v>
      </c>
      <c r="M12" s="89">
        <v>500000</v>
      </c>
      <c r="N12" s="89">
        <v>500000</v>
      </c>
      <c r="O12" s="89">
        <v>500000</v>
      </c>
      <c r="P12" s="90">
        <f t="shared" si="0"/>
        <v>5490000</v>
      </c>
      <c r="Q12" s="132" t="s">
        <v>64</v>
      </c>
    </row>
    <row r="13" spans="1:17" ht="16.5" customHeight="1">
      <c r="A13" s="37" t="s">
        <v>65</v>
      </c>
      <c r="B13" s="37"/>
      <c r="C13" s="37"/>
      <c r="D13" s="85"/>
      <c r="E13" s="85"/>
      <c r="F13" s="85"/>
      <c r="G13" s="85"/>
      <c r="H13" s="85"/>
      <c r="I13" s="85"/>
      <c r="J13" s="85"/>
      <c r="K13" s="85"/>
      <c r="L13" s="85"/>
      <c r="M13" s="85"/>
      <c r="N13" s="85"/>
      <c r="O13" s="85"/>
      <c r="P13" s="85"/>
    </row>
    <row r="14" spans="1:17" ht="16.5" customHeight="1">
      <c r="A14" s="11" t="s">
        <v>66</v>
      </c>
      <c r="B14" s="12" t="s">
        <v>67</v>
      </c>
      <c r="C14" s="12" t="s">
        <v>58</v>
      </c>
      <c r="D14" s="13">
        <v>-3260.215549</v>
      </c>
      <c r="E14" s="13">
        <v>44660</v>
      </c>
      <c r="F14" s="13">
        <v>2249</v>
      </c>
      <c r="G14" s="13"/>
      <c r="H14" s="13"/>
      <c r="I14" s="13"/>
      <c r="J14" s="13"/>
      <c r="K14" s="13"/>
      <c r="L14" s="13"/>
      <c r="M14" s="13"/>
      <c r="N14" s="13"/>
      <c r="O14" s="13"/>
      <c r="P14" s="13">
        <f t="shared" ref="P14:P41" si="1">SUM(D14:O14)</f>
        <v>43648.784451</v>
      </c>
    </row>
    <row r="15" spans="1:17" ht="16.5" customHeight="1">
      <c r="A15" s="14"/>
      <c r="B15" s="15" t="s">
        <v>67</v>
      </c>
      <c r="C15" s="16" t="s">
        <v>59</v>
      </c>
      <c r="D15" s="89">
        <v>30000</v>
      </c>
      <c r="E15" s="89">
        <v>37500</v>
      </c>
      <c r="F15" s="89">
        <v>15000</v>
      </c>
      <c r="G15" s="89">
        <v>55000</v>
      </c>
      <c r="H15" s="89">
        <v>55000</v>
      </c>
      <c r="I15" s="89">
        <v>55000</v>
      </c>
      <c r="J15" s="89">
        <v>95000</v>
      </c>
      <c r="K15" s="89">
        <v>105000</v>
      </c>
      <c r="L15" s="89">
        <v>150000</v>
      </c>
      <c r="M15" s="89">
        <v>105000</v>
      </c>
      <c r="N15" s="89">
        <v>105000</v>
      </c>
      <c r="O15" s="89">
        <v>105000</v>
      </c>
      <c r="P15" s="90">
        <f t="shared" si="1"/>
        <v>912500</v>
      </c>
    </row>
    <row r="16" spans="1:17" ht="16.5" customHeight="1">
      <c r="A16" s="18"/>
      <c r="B16" s="12" t="s">
        <v>68</v>
      </c>
      <c r="C16" s="12" t="s">
        <v>58</v>
      </c>
      <c r="D16" s="13">
        <v>212757.87822700001</v>
      </c>
      <c r="E16" s="13">
        <v>148559.80689199999</v>
      </c>
      <c r="F16" s="13">
        <v>9433</v>
      </c>
      <c r="G16" s="13"/>
      <c r="H16" s="13"/>
      <c r="I16" s="13"/>
      <c r="J16" s="13"/>
      <c r="K16" s="13"/>
      <c r="L16" s="13"/>
      <c r="M16" s="13"/>
      <c r="N16" s="13"/>
      <c r="O16" s="13"/>
      <c r="P16" s="13">
        <f t="shared" si="1"/>
        <v>370750.68511900003</v>
      </c>
    </row>
    <row r="17" spans="1:17" ht="16.5" customHeight="1">
      <c r="A17" s="14"/>
      <c r="B17" s="15" t="s">
        <v>68</v>
      </c>
      <c r="C17" s="16" t="s">
        <v>59</v>
      </c>
      <c r="D17" s="89">
        <v>175000</v>
      </c>
      <c r="E17" s="89">
        <v>177000</v>
      </c>
      <c r="F17" s="89">
        <v>150000</v>
      </c>
      <c r="G17" s="89">
        <v>150000</v>
      </c>
      <c r="H17" s="89">
        <v>150000</v>
      </c>
      <c r="I17" s="89">
        <v>150000</v>
      </c>
      <c r="J17" s="89">
        <v>150000</v>
      </c>
      <c r="K17" s="89">
        <v>215000</v>
      </c>
      <c r="L17" s="89">
        <v>205000</v>
      </c>
      <c r="M17" s="89">
        <v>200000</v>
      </c>
      <c r="N17" s="89">
        <v>200000</v>
      </c>
      <c r="O17" s="89">
        <v>200000</v>
      </c>
      <c r="P17" s="90">
        <f t="shared" si="1"/>
        <v>2122000</v>
      </c>
    </row>
    <row r="18" spans="1:17" ht="16.5" customHeight="1">
      <c r="A18" s="18"/>
      <c r="B18" s="12" t="s">
        <v>69</v>
      </c>
      <c r="C18" s="12" t="s">
        <v>58</v>
      </c>
      <c r="D18" s="13">
        <v>2024.5313410000001</v>
      </c>
      <c r="E18" s="13">
        <v>6347.5797160000002</v>
      </c>
      <c r="F18" s="13">
        <v>6358</v>
      </c>
      <c r="G18" s="13"/>
      <c r="H18" s="13"/>
      <c r="I18" s="13"/>
      <c r="J18" s="13"/>
      <c r="K18" s="13"/>
      <c r="L18" s="13"/>
      <c r="M18" s="13"/>
      <c r="N18" s="13"/>
      <c r="O18" s="13"/>
      <c r="P18" s="13">
        <f t="shared" si="1"/>
        <v>14730.111057</v>
      </c>
    </row>
    <row r="19" spans="1:17" ht="16.5" customHeight="1">
      <c r="A19" s="14"/>
      <c r="B19" s="15" t="s">
        <v>69</v>
      </c>
      <c r="C19" s="16" t="s">
        <v>59</v>
      </c>
      <c r="D19" s="89">
        <v>12500</v>
      </c>
      <c r="E19" s="89">
        <v>13500</v>
      </c>
      <c r="F19" s="89">
        <v>13000</v>
      </c>
      <c r="G19" s="89">
        <v>13500</v>
      </c>
      <c r="H19" s="89">
        <v>12000</v>
      </c>
      <c r="I19" s="89">
        <v>13500</v>
      </c>
      <c r="J19" s="89">
        <v>12000</v>
      </c>
      <c r="K19" s="89">
        <v>14000</v>
      </c>
      <c r="L19" s="89">
        <v>16000</v>
      </c>
      <c r="M19" s="89">
        <v>10000</v>
      </c>
      <c r="N19" s="89">
        <v>10000</v>
      </c>
      <c r="O19" s="89">
        <v>10000</v>
      </c>
      <c r="P19" s="90">
        <f t="shared" si="1"/>
        <v>150000</v>
      </c>
    </row>
    <row r="20" spans="1:17" ht="16.5" customHeight="1">
      <c r="A20" s="18"/>
      <c r="B20" s="12" t="s">
        <v>70</v>
      </c>
      <c r="C20" s="12" t="s">
        <v>58</v>
      </c>
      <c r="D20" s="13">
        <v>5566.1160609999997</v>
      </c>
      <c r="E20" s="13">
        <v>14370.106075</v>
      </c>
      <c r="F20" s="13">
        <v>7935</v>
      </c>
      <c r="G20" s="13"/>
      <c r="H20" s="13"/>
      <c r="I20" s="13"/>
      <c r="J20" s="13"/>
      <c r="K20" s="13"/>
      <c r="L20" s="13"/>
      <c r="M20" s="13"/>
      <c r="N20" s="13"/>
      <c r="O20" s="13"/>
      <c r="P20" s="13">
        <f t="shared" si="1"/>
        <v>27871.222136</v>
      </c>
    </row>
    <row r="21" spans="1:17" ht="16.5" customHeight="1">
      <c r="A21" s="14"/>
      <c r="B21" s="15" t="s">
        <v>70</v>
      </c>
      <c r="C21" s="16" t="s">
        <v>59</v>
      </c>
      <c r="D21" s="89">
        <v>10000</v>
      </c>
      <c r="E21" s="89">
        <v>10000</v>
      </c>
      <c r="F21" s="89">
        <v>8500</v>
      </c>
      <c r="G21" s="89">
        <v>8000</v>
      </c>
      <c r="H21" s="89">
        <v>8000</v>
      </c>
      <c r="I21" s="89">
        <v>8000</v>
      </c>
      <c r="J21" s="89">
        <v>8000</v>
      </c>
      <c r="K21" s="89">
        <v>8000</v>
      </c>
      <c r="L21" s="89">
        <v>8000</v>
      </c>
      <c r="M21" s="89">
        <v>8000</v>
      </c>
      <c r="N21" s="89">
        <v>8000</v>
      </c>
      <c r="O21" s="89">
        <v>8000</v>
      </c>
      <c r="P21" s="90">
        <f t="shared" si="1"/>
        <v>100500</v>
      </c>
    </row>
    <row r="22" spans="1:17" ht="16.5" customHeight="1">
      <c r="A22" s="18"/>
      <c r="B22" s="12" t="s">
        <v>71</v>
      </c>
      <c r="C22" s="12" t="s">
        <v>58</v>
      </c>
      <c r="D22" s="13">
        <v>9408.0530689999996</v>
      </c>
      <c r="E22" s="13">
        <v>4565.49737</v>
      </c>
      <c r="F22" s="13">
        <v>14841</v>
      </c>
      <c r="G22" s="13"/>
      <c r="H22" s="13"/>
      <c r="I22" s="13"/>
      <c r="J22" s="13"/>
      <c r="K22" s="13"/>
      <c r="L22" s="13"/>
      <c r="M22" s="13"/>
      <c r="N22" s="13"/>
      <c r="O22" s="13"/>
      <c r="P22" s="13">
        <f t="shared" si="1"/>
        <v>28814.550438999999</v>
      </c>
    </row>
    <row r="23" spans="1:17" ht="16.5" customHeight="1">
      <c r="A23" s="14"/>
      <c r="B23" s="15" t="s">
        <v>71</v>
      </c>
      <c r="C23" s="16" t="s">
        <v>59</v>
      </c>
      <c r="D23" s="89">
        <v>17500</v>
      </c>
      <c r="E23" s="89">
        <v>15000</v>
      </c>
      <c r="F23" s="89">
        <v>14500</v>
      </c>
      <c r="G23" s="89">
        <v>14500</v>
      </c>
      <c r="H23" s="89">
        <v>14500</v>
      </c>
      <c r="I23" s="89">
        <v>15000</v>
      </c>
      <c r="J23" s="89">
        <v>16500</v>
      </c>
      <c r="K23" s="89">
        <v>16500</v>
      </c>
      <c r="L23" s="89">
        <v>20000</v>
      </c>
      <c r="M23" s="89">
        <v>18500</v>
      </c>
      <c r="N23" s="89">
        <v>18000</v>
      </c>
      <c r="O23" s="89">
        <v>18000</v>
      </c>
      <c r="P23" s="90">
        <f t="shared" si="1"/>
        <v>198500</v>
      </c>
    </row>
    <row r="24" spans="1:17" ht="16.5" customHeight="1">
      <c r="A24" s="18"/>
      <c r="B24" s="12" t="s">
        <v>72</v>
      </c>
      <c r="C24" s="12" t="s">
        <v>58</v>
      </c>
      <c r="D24" s="13">
        <v>2960.8800350000001</v>
      </c>
      <c r="E24" s="13">
        <v>687.37602900000002</v>
      </c>
      <c r="F24" s="13">
        <v>-1533</v>
      </c>
      <c r="G24" s="13"/>
      <c r="H24" s="13"/>
      <c r="I24" s="13"/>
      <c r="J24" s="13"/>
      <c r="K24" s="13"/>
      <c r="L24" s="13"/>
      <c r="M24" s="13"/>
      <c r="N24" s="13"/>
      <c r="O24" s="13"/>
      <c r="P24" s="13">
        <f t="shared" si="1"/>
        <v>2115.2560640000002</v>
      </c>
    </row>
    <row r="25" spans="1:17" ht="16.5" customHeight="1">
      <c r="A25" s="14"/>
      <c r="B25" s="15" t="s">
        <v>72</v>
      </c>
      <c r="C25" s="16" t="s">
        <v>59</v>
      </c>
      <c r="D25" s="89">
        <v>1500</v>
      </c>
      <c r="E25" s="89">
        <v>1500</v>
      </c>
      <c r="F25" s="89">
        <v>1500</v>
      </c>
      <c r="G25" s="89">
        <v>1500</v>
      </c>
      <c r="H25" s="89">
        <v>1500</v>
      </c>
      <c r="I25" s="89">
        <v>1500</v>
      </c>
      <c r="J25" s="89">
        <v>1500</v>
      </c>
      <c r="K25" s="89">
        <v>1500</v>
      </c>
      <c r="L25" s="89">
        <v>1500</v>
      </c>
      <c r="M25" s="89">
        <v>1500</v>
      </c>
      <c r="N25" s="89">
        <v>1500</v>
      </c>
      <c r="O25" s="89">
        <v>1500</v>
      </c>
      <c r="P25" s="90">
        <f t="shared" si="1"/>
        <v>18000</v>
      </c>
    </row>
    <row r="26" spans="1:17" ht="16.5" customHeight="1">
      <c r="A26" s="18"/>
      <c r="B26" s="12" t="s">
        <v>73</v>
      </c>
      <c r="C26" s="12" t="s">
        <v>58</v>
      </c>
      <c r="D26" s="13">
        <v>1721.441607</v>
      </c>
      <c r="E26" s="13">
        <v>4112.9450440000001</v>
      </c>
      <c r="F26" s="13">
        <v>4550</v>
      </c>
      <c r="G26" s="13"/>
      <c r="H26" s="13"/>
      <c r="I26" s="13"/>
      <c r="J26" s="13"/>
      <c r="K26" s="13"/>
      <c r="L26" s="13"/>
      <c r="M26" s="13"/>
      <c r="N26" s="13"/>
      <c r="O26" s="13"/>
      <c r="P26" s="13">
        <f t="shared" si="1"/>
        <v>10384.386651000001</v>
      </c>
    </row>
    <row r="27" spans="1:17" ht="16.5" customHeight="1">
      <c r="A27" s="14"/>
      <c r="B27" s="15" t="s">
        <v>73</v>
      </c>
      <c r="C27" s="16" t="s">
        <v>59</v>
      </c>
      <c r="D27" s="89">
        <v>10000</v>
      </c>
      <c r="E27" s="89">
        <v>5000</v>
      </c>
      <c r="F27" s="89">
        <v>10000</v>
      </c>
      <c r="G27" s="89">
        <v>7500</v>
      </c>
      <c r="H27" s="89">
        <v>8000</v>
      </c>
      <c r="I27" s="89">
        <v>8000</v>
      </c>
      <c r="J27" s="89">
        <v>8500</v>
      </c>
      <c r="K27" s="89">
        <v>8500</v>
      </c>
      <c r="L27" s="89">
        <v>7500</v>
      </c>
      <c r="M27" s="89">
        <v>10000</v>
      </c>
      <c r="N27" s="89">
        <v>10000</v>
      </c>
      <c r="O27" s="89">
        <v>8500</v>
      </c>
      <c r="P27" s="90">
        <f t="shared" si="1"/>
        <v>101500</v>
      </c>
    </row>
    <row r="28" spans="1:17" ht="16.5" customHeight="1">
      <c r="A28" s="18"/>
      <c r="B28" s="12" t="s">
        <v>74</v>
      </c>
      <c r="C28" s="12" t="s">
        <v>58</v>
      </c>
      <c r="D28" s="13">
        <v>8337.3098520000003</v>
      </c>
      <c r="E28" s="13">
        <v>3992.095781</v>
      </c>
      <c r="F28" s="13">
        <v>1794</v>
      </c>
      <c r="G28" s="13"/>
      <c r="H28" s="13"/>
      <c r="I28" s="13"/>
      <c r="J28" s="13"/>
      <c r="K28" s="13"/>
      <c r="L28" s="13"/>
      <c r="M28" s="13"/>
      <c r="N28" s="13"/>
      <c r="O28" s="13"/>
      <c r="P28" s="13">
        <f t="shared" si="1"/>
        <v>14123.405633</v>
      </c>
    </row>
    <row r="29" spans="1:17" ht="16.5" customHeight="1">
      <c r="A29" s="14"/>
      <c r="B29" s="15" t="s">
        <v>74</v>
      </c>
      <c r="C29" s="16" t="s">
        <v>59</v>
      </c>
      <c r="D29" s="89">
        <v>3000</v>
      </c>
      <c r="E29" s="89">
        <v>8000</v>
      </c>
      <c r="F29" s="89">
        <v>8000</v>
      </c>
      <c r="G29" s="89">
        <v>5500</v>
      </c>
      <c r="H29" s="89">
        <v>5500</v>
      </c>
      <c r="I29" s="89">
        <v>5500</v>
      </c>
      <c r="J29" s="89">
        <v>5500</v>
      </c>
      <c r="K29" s="89">
        <v>5500</v>
      </c>
      <c r="L29" s="89">
        <v>5500</v>
      </c>
      <c r="M29" s="89">
        <v>5500</v>
      </c>
      <c r="N29" s="89">
        <v>5500</v>
      </c>
      <c r="O29" s="89">
        <v>5500</v>
      </c>
      <c r="P29" s="90">
        <f t="shared" si="1"/>
        <v>68500</v>
      </c>
    </row>
    <row r="30" spans="1:17" ht="16.5" customHeight="1">
      <c r="A30" s="18"/>
      <c r="B30" s="12" t="s">
        <v>75</v>
      </c>
      <c r="C30" s="12" t="s">
        <v>58</v>
      </c>
      <c r="D30" s="13">
        <v>0.64896399999999999</v>
      </c>
      <c r="E30" s="13">
        <v>0</v>
      </c>
      <c r="F30" s="13"/>
      <c r="G30" s="13"/>
      <c r="H30" s="13"/>
      <c r="I30" s="13"/>
      <c r="J30" s="13"/>
      <c r="K30" s="13"/>
      <c r="L30" s="13"/>
      <c r="M30" s="13"/>
      <c r="N30" s="13"/>
      <c r="O30" s="13"/>
      <c r="P30" s="13">
        <f t="shared" si="1"/>
        <v>0.64896399999999999</v>
      </c>
    </row>
    <row r="31" spans="1:17" ht="16.5" customHeight="1">
      <c r="A31" s="14"/>
      <c r="B31" s="15" t="s">
        <v>75</v>
      </c>
      <c r="C31" s="16" t="s">
        <v>59</v>
      </c>
      <c r="D31" s="89"/>
      <c r="E31" s="89"/>
      <c r="F31" s="89"/>
      <c r="G31" s="89"/>
      <c r="H31" s="89"/>
      <c r="I31" s="89"/>
      <c r="J31" s="89"/>
      <c r="K31" s="89"/>
      <c r="L31" s="89"/>
      <c r="M31" s="89"/>
      <c r="N31" s="89"/>
      <c r="O31" s="89"/>
      <c r="P31" s="90">
        <f t="shared" si="1"/>
        <v>0</v>
      </c>
      <c r="Q31" t="s">
        <v>76</v>
      </c>
    </row>
    <row r="32" spans="1:17" ht="16.5" customHeight="1">
      <c r="A32" s="18"/>
      <c r="B32" s="12" t="s">
        <v>77</v>
      </c>
      <c r="C32" s="12" t="s">
        <v>58</v>
      </c>
      <c r="D32" s="13">
        <v>601.71931600000005</v>
      </c>
      <c r="E32" s="13">
        <v>224.092915</v>
      </c>
      <c r="F32" s="13">
        <v>15</v>
      </c>
      <c r="G32" s="13"/>
      <c r="H32" s="13"/>
      <c r="I32" s="13"/>
      <c r="J32" s="13"/>
      <c r="K32" s="13"/>
      <c r="L32" s="13"/>
      <c r="M32" s="13"/>
      <c r="N32" s="13"/>
      <c r="O32" s="13"/>
      <c r="P32" s="13">
        <f t="shared" si="1"/>
        <v>840.81223100000011</v>
      </c>
    </row>
    <row r="33" spans="1:17" ht="16.5" customHeight="1">
      <c r="A33" s="14"/>
      <c r="B33" s="15" t="s">
        <v>77</v>
      </c>
      <c r="C33" s="16" t="s">
        <v>59</v>
      </c>
      <c r="D33" s="89">
        <v>1500</v>
      </c>
      <c r="E33" s="89">
        <v>1500</v>
      </c>
      <c r="F33" s="89">
        <v>1500</v>
      </c>
      <c r="G33" s="89">
        <v>1500</v>
      </c>
      <c r="H33" s="89">
        <v>1500</v>
      </c>
      <c r="I33" s="89">
        <v>1500</v>
      </c>
      <c r="J33" s="89">
        <v>1500</v>
      </c>
      <c r="K33" s="89">
        <v>1500</v>
      </c>
      <c r="L33" s="89">
        <v>1500</v>
      </c>
      <c r="M33" s="89">
        <v>1500</v>
      </c>
      <c r="N33" s="89">
        <v>1500</v>
      </c>
      <c r="O33" s="89">
        <v>1500</v>
      </c>
      <c r="P33" s="90">
        <f t="shared" si="1"/>
        <v>18000</v>
      </c>
    </row>
    <row r="34" spans="1:17" ht="16.5" customHeight="1">
      <c r="A34" s="18"/>
      <c r="B34" s="12" t="s">
        <v>78</v>
      </c>
      <c r="C34" s="12" t="s">
        <v>58</v>
      </c>
      <c r="D34" s="13">
        <v>111.69258499999999</v>
      </c>
      <c r="E34" s="13">
        <v>260.21517899999998</v>
      </c>
      <c r="F34" s="13">
        <v>-77</v>
      </c>
      <c r="G34" s="13"/>
      <c r="H34" s="13"/>
      <c r="I34" s="13"/>
      <c r="J34" s="13"/>
      <c r="K34" s="13"/>
      <c r="L34" s="13"/>
      <c r="M34" s="13"/>
      <c r="N34" s="13"/>
      <c r="O34" s="13"/>
      <c r="P34" s="13">
        <f t="shared" si="1"/>
        <v>294.90776399999999</v>
      </c>
    </row>
    <row r="35" spans="1:17" ht="16.5" customHeight="1">
      <c r="A35" s="14"/>
      <c r="B35" s="15" t="s">
        <v>78</v>
      </c>
      <c r="C35" s="16" t="s">
        <v>59</v>
      </c>
      <c r="D35" s="89">
        <v>100</v>
      </c>
      <c r="E35" s="89">
        <v>100</v>
      </c>
      <c r="F35" s="89">
        <v>100</v>
      </c>
      <c r="G35" s="89">
        <v>100</v>
      </c>
      <c r="H35" s="89">
        <v>100</v>
      </c>
      <c r="I35" s="89">
        <v>100</v>
      </c>
      <c r="J35" s="89">
        <v>100</v>
      </c>
      <c r="K35" s="89">
        <v>100</v>
      </c>
      <c r="L35" s="89">
        <v>100</v>
      </c>
      <c r="M35" s="89">
        <v>100</v>
      </c>
      <c r="N35" s="89">
        <v>100</v>
      </c>
      <c r="O35" s="89">
        <v>100</v>
      </c>
      <c r="P35" s="90">
        <f t="shared" si="1"/>
        <v>1200</v>
      </c>
      <c r="Q35" t="s">
        <v>79</v>
      </c>
    </row>
    <row r="36" spans="1:17" ht="16.5" customHeight="1">
      <c r="A36" s="18"/>
      <c r="B36" s="12" t="s">
        <v>80</v>
      </c>
      <c r="C36" s="12" t="s">
        <v>58</v>
      </c>
      <c r="D36" s="13">
        <v>167.97545299999999</v>
      </c>
      <c r="E36" s="13">
        <v>546</v>
      </c>
      <c r="F36" s="13">
        <v>651</v>
      </c>
      <c r="G36" s="13"/>
      <c r="H36" s="13"/>
      <c r="I36" s="13"/>
      <c r="J36" s="13"/>
      <c r="K36" s="13"/>
      <c r="L36" s="13"/>
      <c r="M36" s="13"/>
      <c r="N36" s="13"/>
      <c r="O36" s="13"/>
      <c r="P36" s="13">
        <f t="shared" si="1"/>
        <v>1364.975453</v>
      </c>
    </row>
    <row r="37" spans="1:17" ht="16.5" customHeight="1">
      <c r="A37" s="14"/>
      <c r="B37" s="15" t="s">
        <v>80</v>
      </c>
      <c r="C37" s="16" t="s">
        <v>59</v>
      </c>
      <c r="D37" s="89">
        <v>100</v>
      </c>
      <c r="E37" s="89">
        <v>100</v>
      </c>
      <c r="F37" s="89">
        <v>100</v>
      </c>
      <c r="G37" s="89">
        <v>100</v>
      </c>
      <c r="H37" s="89">
        <v>100</v>
      </c>
      <c r="I37" s="89">
        <v>100</v>
      </c>
      <c r="J37" s="89">
        <v>100</v>
      </c>
      <c r="K37" s="89">
        <v>100</v>
      </c>
      <c r="L37" s="89">
        <v>100</v>
      </c>
      <c r="M37" s="89">
        <v>100</v>
      </c>
      <c r="N37" s="89">
        <v>100</v>
      </c>
      <c r="O37" s="89">
        <v>100</v>
      </c>
      <c r="P37" s="90">
        <f t="shared" si="1"/>
        <v>1200</v>
      </c>
    </row>
    <row r="38" spans="1:17" ht="16.5" customHeight="1">
      <c r="A38" s="18"/>
      <c r="B38" s="12" t="s">
        <v>81</v>
      </c>
      <c r="C38" s="12" t="s">
        <v>58</v>
      </c>
      <c r="D38" s="13"/>
      <c r="E38" s="13">
        <v>5.7975459999999996</v>
      </c>
      <c r="F38" s="13">
        <v>289</v>
      </c>
      <c r="G38" s="13"/>
      <c r="H38" s="13"/>
      <c r="I38" s="13"/>
      <c r="J38" s="13"/>
      <c r="K38" s="13"/>
      <c r="L38" s="13"/>
      <c r="M38" s="13"/>
      <c r="N38" s="13"/>
      <c r="O38" s="13"/>
      <c r="P38" s="13">
        <f t="shared" si="1"/>
        <v>294.79754600000001</v>
      </c>
    </row>
    <row r="39" spans="1:17" ht="16.5" customHeight="1">
      <c r="A39" s="14"/>
      <c r="B39" s="15" t="s">
        <v>81</v>
      </c>
      <c r="C39" s="16" t="s">
        <v>59</v>
      </c>
      <c r="D39" s="89">
        <v>100</v>
      </c>
      <c r="E39" s="89">
        <v>100</v>
      </c>
      <c r="F39" s="89">
        <v>100</v>
      </c>
      <c r="G39" s="89">
        <v>500</v>
      </c>
      <c r="H39" s="89">
        <v>500</v>
      </c>
      <c r="I39" s="89">
        <v>500</v>
      </c>
      <c r="J39" s="89">
        <v>1000</v>
      </c>
      <c r="K39" s="89">
        <v>1000</v>
      </c>
      <c r="L39" s="89">
        <v>1000</v>
      </c>
      <c r="M39" s="89">
        <v>1000</v>
      </c>
      <c r="N39" s="89">
        <v>1000</v>
      </c>
      <c r="O39" s="89">
        <v>1000</v>
      </c>
      <c r="P39" s="90">
        <f t="shared" si="1"/>
        <v>7800</v>
      </c>
    </row>
    <row r="40" spans="1:17" ht="16.5" customHeight="1">
      <c r="A40" s="18"/>
      <c r="B40" s="12" t="s">
        <v>82</v>
      </c>
      <c r="C40" s="12" t="s">
        <v>58</v>
      </c>
      <c r="D40" s="13">
        <v>-13263.988921</v>
      </c>
      <c r="E40" s="13">
        <v>17347.597707000001</v>
      </c>
      <c r="F40" s="13">
        <v>14186</v>
      </c>
      <c r="G40" s="13"/>
      <c r="H40" s="13"/>
      <c r="I40" s="13"/>
      <c r="J40" s="13"/>
      <c r="K40" s="13"/>
      <c r="L40" s="13"/>
      <c r="M40" s="13"/>
      <c r="N40" s="13"/>
      <c r="O40" s="13"/>
      <c r="P40" s="13">
        <f t="shared" si="1"/>
        <v>18269.608786000001</v>
      </c>
    </row>
    <row r="41" spans="1:17" ht="16.5" customHeight="1">
      <c r="A41" s="84"/>
      <c r="B41" s="15" t="s">
        <v>82</v>
      </c>
      <c r="C41" s="133" t="s">
        <v>59</v>
      </c>
      <c r="D41" s="89">
        <v>12500</v>
      </c>
      <c r="E41" s="89">
        <v>12500</v>
      </c>
      <c r="F41" s="89">
        <v>18500</v>
      </c>
      <c r="G41" s="89">
        <v>12500</v>
      </c>
      <c r="H41" s="89">
        <v>12500</v>
      </c>
      <c r="I41" s="89">
        <v>12500</v>
      </c>
      <c r="J41" s="89">
        <v>12500</v>
      </c>
      <c r="K41" s="89">
        <v>12500</v>
      </c>
      <c r="L41" s="89">
        <v>12500</v>
      </c>
      <c r="M41" s="89">
        <v>12500</v>
      </c>
      <c r="N41" s="89">
        <v>12500</v>
      </c>
      <c r="O41" s="89">
        <v>12500</v>
      </c>
      <c r="P41" s="90">
        <f t="shared" si="1"/>
        <v>156000</v>
      </c>
      <c r="Q41" s="83"/>
    </row>
    <row r="42" spans="1:17" ht="16.5" customHeight="1">
      <c r="A42" s="18"/>
      <c r="B42" s="12" t="s">
        <v>83</v>
      </c>
      <c r="C42" s="12" t="s">
        <v>58</v>
      </c>
      <c r="D42" s="13"/>
      <c r="E42" s="13">
        <v>1498</v>
      </c>
      <c r="F42" s="13">
        <v>5273</v>
      </c>
      <c r="G42" s="13"/>
      <c r="H42" s="13"/>
      <c r="I42" s="13"/>
      <c r="J42" s="13"/>
      <c r="K42" s="13"/>
      <c r="L42" s="13"/>
      <c r="M42" s="13"/>
      <c r="N42" s="13"/>
      <c r="O42" s="13"/>
      <c r="P42" s="13">
        <f t="shared" ref="P42:P43" si="2">SUM(D42:O42)</f>
        <v>6771</v>
      </c>
    </row>
    <row r="43" spans="1:17" ht="16.5" customHeight="1">
      <c r="A43" s="84"/>
      <c r="B43" s="15" t="s">
        <v>84</v>
      </c>
      <c r="C43" s="133" t="s">
        <v>59</v>
      </c>
      <c r="D43" s="89"/>
      <c r="E43" s="89"/>
      <c r="F43" s="89"/>
      <c r="G43" s="89">
        <v>7382</v>
      </c>
      <c r="H43" s="89">
        <v>8859</v>
      </c>
      <c r="I43" s="89">
        <v>10631</v>
      </c>
      <c r="J43" s="89">
        <v>11694</v>
      </c>
      <c r="K43" s="89">
        <v>14032</v>
      </c>
      <c r="L43" s="89">
        <v>16839</v>
      </c>
      <c r="M43" s="89">
        <v>20207</v>
      </c>
      <c r="N43" s="89">
        <v>24248</v>
      </c>
      <c r="O43" s="89">
        <v>29097</v>
      </c>
      <c r="P43" s="90">
        <f t="shared" si="2"/>
        <v>142989</v>
      </c>
      <c r="Q43" s="83"/>
    </row>
    <row r="44" spans="1:17" ht="16.5" customHeight="1">
      <c r="A44" s="37" t="s">
        <v>85</v>
      </c>
      <c r="B44" s="37"/>
      <c r="C44" s="37"/>
      <c r="D44" s="85"/>
      <c r="E44" s="85"/>
      <c r="F44" s="85"/>
      <c r="G44" s="85"/>
      <c r="H44" s="85"/>
      <c r="I44" s="85"/>
      <c r="J44" s="85"/>
      <c r="K44" s="85"/>
      <c r="L44" s="85"/>
      <c r="M44" s="85"/>
      <c r="N44" s="85"/>
      <c r="O44" s="85"/>
      <c r="P44" s="85"/>
    </row>
    <row r="45" spans="1:17" ht="16.5" customHeight="1">
      <c r="A45" s="11" t="s">
        <v>86</v>
      </c>
      <c r="B45" s="12" t="s">
        <v>87</v>
      </c>
      <c r="C45" s="12" t="s">
        <v>58</v>
      </c>
      <c r="D45" s="13">
        <v>618795.87901300006</v>
      </c>
      <c r="E45" s="13">
        <v>746747.74987299996</v>
      </c>
      <c r="F45" s="13">
        <v>496449.57910500001</v>
      </c>
      <c r="G45" s="13"/>
      <c r="H45" s="13"/>
      <c r="I45" s="13"/>
      <c r="J45" s="13"/>
      <c r="K45" s="13"/>
      <c r="L45" s="13"/>
      <c r="M45" s="13"/>
      <c r="N45" s="13"/>
      <c r="O45" s="13"/>
      <c r="P45" s="13">
        <f>SUM(D45:O45)</f>
        <v>1861993.207991</v>
      </c>
    </row>
    <row r="46" spans="1:17" ht="16.5" customHeight="1">
      <c r="A46" s="14"/>
      <c r="B46" s="15" t="s">
        <v>87</v>
      </c>
      <c r="C46" s="16" t="s">
        <v>59</v>
      </c>
      <c r="D46" s="89">
        <v>500000</v>
      </c>
      <c r="E46" s="89">
        <v>700000</v>
      </c>
      <c r="F46" s="89">
        <v>550000</v>
      </c>
      <c r="G46" s="89">
        <v>350000</v>
      </c>
      <c r="H46" s="89">
        <v>300000</v>
      </c>
      <c r="I46" s="89">
        <v>300000</v>
      </c>
      <c r="J46" s="89">
        <v>300000</v>
      </c>
      <c r="K46" s="89">
        <v>400000</v>
      </c>
      <c r="L46" s="89">
        <v>600000</v>
      </c>
      <c r="M46" s="89">
        <v>500000</v>
      </c>
      <c r="N46" s="89">
        <v>500000</v>
      </c>
      <c r="O46" s="89">
        <v>500000</v>
      </c>
      <c r="P46" s="90">
        <f>SUM(D46:O46)</f>
        <v>5500000</v>
      </c>
      <c r="Q46" s="132" t="s">
        <v>88</v>
      </c>
    </row>
    <row r="47" spans="1:17" ht="16.5" customHeight="1">
      <c r="A47" s="37" t="s">
        <v>89</v>
      </c>
      <c r="B47" s="37"/>
      <c r="C47" s="37"/>
      <c r="D47" s="85"/>
      <c r="E47" s="85"/>
      <c r="F47" s="85"/>
      <c r="G47" s="85"/>
      <c r="H47" s="85"/>
      <c r="I47" s="85"/>
      <c r="J47" s="85"/>
      <c r="K47" s="85"/>
      <c r="L47" s="85"/>
      <c r="M47" s="85"/>
      <c r="N47" s="85"/>
      <c r="O47" s="85"/>
      <c r="P47" s="85"/>
    </row>
    <row r="48" spans="1:17" ht="16.5" customHeight="1">
      <c r="A48" s="11" t="s">
        <v>90</v>
      </c>
      <c r="B48" s="12" t="s">
        <v>91</v>
      </c>
      <c r="C48" s="12" t="s">
        <v>58</v>
      </c>
      <c r="D48" s="13">
        <v>13350.067192</v>
      </c>
      <c r="E48" s="13">
        <v>8927.3897469999993</v>
      </c>
      <c r="F48" s="13">
        <v>15835.691838000001</v>
      </c>
      <c r="G48" s="13"/>
      <c r="H48" s="13"/>
      <c r="I48" s="13"/>
      <c r="J48" s="13"/>
      <c r="K48" s="13"/>
      <c r="L48" s="13"/>
      <c r="M48" s="13"/>
      <c r="N48" s="13"/>
      <c r="O48" s="13"/>
      <c r="P48" s="13">
        <f t="shared" ref="P48:P79" si="3">SUM(D48:O48)</f>
        <v>38113.148777000002</v>
      </c>
    </row>
    <row r="49" spans="1:16" ht="16.5" customHeight="1">
      <c r="A49" s="14"/>
      <c r="B49" s="15" t="s">
        <v>91</v>
      </c>
      <c r="C49" s="16" t="s">
        <v>59</v>
      </c>
      <c r="D49" s="89">
        <v>20000</v>
      </c>
      <c r="E49" s="89">
        <v>12000</v>
      </c>
      <c r="F49" s="89">
        <v>10000</v>
      </c>
      <c r="G49" s="89">
        <v>5000</v>
      </c>
      <c r="H49" s="89">
        <v>3000</v>
      </c>
      <c r="I49" s="89">
        <v>3000</v>
      </c>
      <c r="J49" s="89">
        <v>3000</v>
      </c>
      <c r="K49" s="89">
        <v>5000</v>
      </c>
      <c r="L49" s="89">
        <v>20000</v>
      </c>
      <c r="M49" s="89">
        <v>15000</v>
      </c>
      <c r="N49" s="89">
        <v>15000</v>
      </c>
      <c r="O49" s="89">
        <v>15000</v>
      </c>
      <c r="P49" s="90">
        <f t="shared" si="3"/>
        <v>126000</v>
      </c>
    </row>
    <row r="50" spans="1:16" ht="16.5" customHeight="1">
      <c r="A50" s="18"/>
      <c r="B50" s="12" t="s">
        <v>92</v>
      </c>
      <c r="C50" s="12" t="s">
        <v>58</v>
      </c>
      <c r="D50" s="13">
        <v>10130.180700999999</v>
      </c>
      <c r="E50" s="13">
        <v>2170.7609940000002</v>
      </c>
      <c r="F50" s="13">
        <v>4496.6503309999998</v>
      </c>
      <c r="G50" s="13"/>
      <c r="H50" s="13"/>
      <c r="I50" s="13"/>
      <c r="J50" s="13"/>
      <c r="K50" s="13"/>
      <c r="L50" s="13"/>
      <c r="M50" s="13"/>
      <c r="N50" s="13"/>
      <c r="O50" s="13"/>
      <c r="P50" s="13">
        <f t="shared" si="3"/>
        <v>16797.592025999998</v>
      </c>
    </row>
    <row r="51" spans="1:16" ht="16.5" customHeight="1">
      <c r="A51" s="14"/>
      <c r="B51" s="15" t="s">
        <v>92</v>
      </c>
      <c r="C51" s="16" t="s">
        <v>59</v>
      </c>
      <c r="D51" s="89">
        <v>15000</v>
      </c>
      <c r="E51" s="89">
        <v>12000</v>
      </c>
      <c r="F51" s="89">
        <v>10000</v>
      </c>
      <c r="G51" s="89">
        <v>8000</v>
      </c>
      <c r="H51" s="89">
        <v>3000</v>
      </c>
      <c r="I51" s="89">
        <v>3000</v>
      </c>
      <c r="J51" s="89">
        <v>3000</v>
      </c>
      <c r="K51" s="89">
        <v>5000</v>
      </c>
      <c r="L51" s="89">
        <v>10000</v>
      </c>
      <c r="M51" s="89">
        <v>8000</v>
      </c>
      <c r="N51" s="89">
        <v>8000</v>
      </c>
      <c r="O51" s="89">
        <v>10000</v>
      </c>
      <c r="P51" s="90">
        <f t="shared" si="3"/>
        <v>95000</v>
      </c>
    </row>
    <row r="52" spans="1:16" ht="16.5" customHeight="1">
      <c r="A52" s="18"/>
      <c r="B52" s="12" t="s">
        <v>93</v>
      </c>
      <c r="C52" s="12" t="s">
        <v>58</v>
      </c>
      <c r="D52" s="13">
        <v>-9.9838179999999994</v>
      </c>
      <c r="E52" s="13">
        <v>14220.312282000001</v>
      </c>
      <c r="F52" s="13">
        <v>9727.5139679999993</v>
      </c>
      <c r="G52" s="13"/>
      <c r="H52" s="13"/>
      <c r="I52" s="13"/>
      <c r="J52" s="13"/>
      <c r="K52" s="13"/>
      <c r="L52" s="13"/>
      <c r="M52" s="13"/>
      <c r="N52" s="13"/>
      <c r="O52" s="13"/>
      <c r="P52" s="13">
        <f t="shared" si="3"/>
        <v>23937.842431999998</v>
      </c>
    </row>
    <row r="53" spans="1:16" ht="16.5" customHeight="1">
      <c r="A53" s="14"/>
      <c r="B53" s="15" t="s">
        <v>93</v>
      </c>
      <c r="C53" s="16" t="s">
        <v>59</v>
      </c>
      <c r="D53" s="89">
        <v>20000</v>
      </c>
      <c r="E53" s="89">
        <v>5000</v>
      </c>
      <c r="F53" s="89">
        <v>5000</v>
      </c>
      <c r="G53" s="89">
        <v>2000</v>
      </c>
      <c r="H53" s="89">
        <v>1000</v>
      </c>
      <c r="I53" s="89">
        <v>1000</v>
      </c>
      <c r="J53" s="89">
        <v>1000</v>
      </c>
      <c r="K53" s="89">
        <v>5000</v>
      </c>
      <c r="L53" s="89">
        <v>15000</v>
      </c>
      <c r="M53" s="89">
        <v>10000</v>
      </c>
      <c r="N53" s="89">
        <v>10000</v>
      </c>
      <c r="O53" s="89">
        <v>15000</v>
      </c>
      <c r="P53" s="90">
        <f t="shared" si="3"/>
        <v>90000</v>
      </c>
    </row>
    <row r="54" spans="1:16" ht="16.5" customHeight="1">
      <c r="A54" s="18"/>
      <c r="B54" s="12" t="s">
        <v>94</v>
      </c>
      <c r="C54" s="12" t="s">
        <v>58</v>
      </c>
      <c r="D54" s="13">
        <v>4945.2444770000002</v>
      </c>
      <c r="E54" s="13">
        <v>2880.0742519999999</v>
      </c>
      <c r="F54" s="13">
        <v>8564.9447789999995</v>
      </c>
      <c r="G54" s="13"/>
      <c r="H54" s="13"/>
      <c r="I54" s="13"/>
      <c r="J54" s="13"/>
      <c r="K54" s="13"/>
      <c r="L54" s="13"/>
      <c r="M54" s="13"/>
      <c r="N54" s="13"/>
      <c r="O54" s="13"/>
      <c r="P54" s="13">
        <f t="shared" si="3"/>
        <v>16390.263508</v>
      </c>
    </row>
    <row r="55" spans="1:16" ht="16.5" customHeight="1">
      <c r="A55" s="14"/>
      <c r="B55" s="15" t="s">
        <v>94</v>
      </c>
      <c r="C55" s="16" t="s">
        <v>59</v>
      </c>
      <c r="D55" s="89">
        <v>10000</v>
      </c>
      <c r="E55" s="89">
        <v>5000</v>
      </c>
      <c r="F55" s="89">
        <v>5000</v>
      </c>
      <c r="G55" s="89">
        <v>2000</v>
      </c>
      <c r="H55" s="89">
        <v>1000</v>
      </c>
      <c r="I55" s="89">
        <v>1000</v>
      </c>
      <c r="J55" s="89">
        <v>1000</v>
      </c>
      <c r="K55" s="89">
        <v>3000</v>
      </c>
      <c r="L55" s="89">
        <v>10000</v>
      </c>
      <c r="M55" s="89">
        <v>8000</v>
      </c>
      <c r="N55" s="89">
        <v>8000</v>
      </c>
      <c r="O55" s="89">
        <v>10000</v>
      </c>
      <c r="P55" s="90">
        <f t="shared" si="3"/>
        <v>64000</v>
      </c>
    </row>
    <row r="56" spans="1:16" ht="16.5" customHeight="1">
      <c r="A56" s="18"/>
      <c r="B56" s="12" t="s">
        <v>95</v>
      </c>
      <c r="C56" s="12" t="s">
        <v>58</v>
      </c>
      <c r="D56" s="13">
        <v>2176.9329889999999</v>
      </c>
      <c r="E56" s="13">
        <v>1425.0821780000001</v>
      </c>
      <c r="F56" s="13">
        <v>3628.2568569999999</v>
      </c>
      <c r="G56" s="13"/>
      <c r="H56" s="13"/>
      <c r="I56" s="13"/>
      <c r="J56" s="13"/>
      <c r="K56" s="13"/>
      <c r="L56" s="13"/>
      <c r="M56" s="13"/>
      <c r="N56" s="13"/>
      <c r="O56" s="13"/>
      <c r="P56" s="13">
        <f t="shared" si="3"/>
        <v>7230.2720239999999</v>
      </c>
    </row>
    <row r="57" spans="1:16" ht="16.5" customHeight="1">
      <c r="A57" s="14"/>
      <c r="B57" s="15" t="s">
        <v>95</v>
      </c>
      <c r="C57" s="16" t="s">
        <v>59</v>
      </c>
      <c r="D57" s="89">
        <v>5000</v>
      </c>
      <c r="E57" s="89">
        <v>3000</v>
      </c>
      <c r="F57" s="89">
        <v>3000</v>
      </c>
      <c r="G57" s="89">
        <v>2000</v>
      </c>
      <c r="H57" s="89">
        <v>1000</v>
      </c>
      <c r="I57" s="89">
        <v>1000</v>
      </c>
      <c r="J57" s="89">
        <v>1000</v>
      </c>
      <c r="K57" s="89">
        <v>3000</v>
      </c>
      <c r="L57" s="89">
        <v>5000</v>
      </c>
      <c r="M57" s="89">
        <v>4000</v>
      </c>
      <c r="N57" s="89">
        <v>4000</v>
      </c>
      <c r="O57" s="89">
        <v>5000</v>
      </c>
      <c r="P57" s="90">
        <f t="shared" si="3"/>
        <v>37000</v>
      </c>
    </row>
    <row r="58" spans="1:16" ht="16.5" customHeight="1">
      <c r="A58" s="18"/>
      <c r="B58" s="12" t="s">
        <v>96</v>
      </c>
      <c r="C58" s="12" t="s">
        <v>58</v>
      </c>
      <c r="D58" s="13">
        <v>7974.6973989999997</v>
      </c>
      <c r="E58" s="13">
        <v>6956.5643730000002</v>
      </c>
      <c r="F58" s="13">
        <v>2045.0664320000001</v>
      </c>
      <c r="G58" s="13"/>
      <c r="H58" s="13"/>
      <c r="I58" s="13"/>
      <c r="J58" s="13"/>
      <c r="K58" s="13"/>
      <c r="L58" s="13"/>
      <c r="M58" s="13"/>
      <c r="N58" s="13"/>
      <c r="O58" s="13"/>
      <c r="P58" s="13">
        <f t="shared" si="3"/>
        <v>16976.328204000001</v>
      </c>
    </row>
    <row r="59" spans="1:16" ht="16.5" customHeight="1">
      <c r="A59" s="14"/>
      <c r="B59" s="15" t="s">
        <v>96</v>
      </c>
      <c r="C59" s="16" t="s">
        <v>59</v>
      </c>
      <c r="D59" s="89">
        <v>15000</v>
      </c>
      <c r="E59" s="89">
        <v>12000</v>
      </c>
      <c r="F59" s="89">
        <v>10000</v>
      </c>
      <c r="G59" s="89">
        <v>8000</v>
      </c>
      <c r="H59" s="89">
        <v>3000</v>
      </c>
      <c r="I59" s="89">
        <v>3000</v>
      </c>
      <c r="J59" s="89">
        <v>3000</v>
      </c>
      <c r="K59" s="89">
        <v>5000</v>
      </c>
      <c r="L59" s="89">
        <v>10000</v>
      </c>
      <c r="M59" s="89">
        <v>8000</v>
      </c>
      <c r="N59" s="89">
        <v>8000</v>
      </c>
      <c r="O59" s="89">
        <v>10000</v>
      </c>
      <c r="P59" s="90">
        <f t="shared" si="3"/>
        <v>95000</v>
      </c>
    </row>
    <row r="60" spans="1:16" ht="16.5" customHeight="1">
      <c r="A60" s="18"/>
      <c r="B60" s="12" t="s">
        <v>97</v>
      </c>
      <c r="C60" s="12" t="s">
        <v>58</v>
      </c>
      <c r="D60" s="13">
        <v>1911.8060399999999</v>
      </c>
      <c r="E60" s="13">
        <v>-363.29582299999998</v>
      </c>
      <c r="F60" s="13">
        <v>2161.5844950000001</v>
      </c>
      <c r="G60" s="13"/>
      <c r="H60" s="13"/>
      <c r="I60" s="13"/>
      <c r="J60" s="13"/>
      <c r="K60" s="13"/>
      <c r="L60" s="13"/>
      <c r="M60" s="13"/>
      <c r="N60" s="13"/>
      <c r="O60" s="13"/>
      <c r="P60" s="13">
        <f t="shared" si="3"/>
        <v>3710.0947120000001</v>
      </c>
    </row>
    <row r="61" spans="1:16" ht="16.5" customHeight="1">
      <c r="A61" s="14"/>
      <c r="B61" s="15" t="s">
        <v>97</v>
      </c>
      <c r="C61" s="16" t="s">
        <v>59</v>
      </c>
      <c r="D61" s="89">
        <v>5000</v>
      </c>
      <c r="E61" s="89">
        <v>3000</v>
      </c>
      <c r="F61" s="89">
        <v>3000</v>
      </c>
      <c r="G61" s="89">
        <v>2000</v>
      </c>
      <c r="H61" s="89">
        <v>1000</v>
      </c>
      <c r="I61" s="89">
        <v>1000</v>
      </c>
      <c r="J61" s="89">
        <v>1000</v>
      </c>
      <c r="K61" s="89">
        <v>3000</v>
      </c>
      <c r="L61" s="89">
        <v>5000</v>
      </c>
      <c r="M61" s="89">
        <v>4000</v>
      </c>
      <c r="N61" s="89">
        <v>4000</v>
      </c>
      <c r="O61" s="89">
        <v>5000</v>
      </c>
      <c r="P61" s="90">
        <f t="shared" si="3"/>
        <v>37000</v>
      </c>
    </row>
    <row r="62" spans="1:16" ht="16.5" customHeight="1">
      <c r="A62" s="18"/>
      <c r="B62" s="12" t="s">
        <v>98</v>
      </c>
      <c r="C62" s="12" t="s">
        <v>58</v>
      </c>
      <c r="D62" s="13">
        <v>-376.130584</v>
      </c>
      <c r="E62" s="13">
        <v>-1212.1452959999999</v>
      </c>
      <c r="F62" s="13">
        <v>1384.8505680000001</v>
      </c>
      <c r="G62" s="13"/>
      <c r="H62" s="13"/>
      <c r="I62" s="13"/>
      <c r="J62" s="13"/>
      <c r="K62" s="13"/>
      <c r="L62" s="13"/>
      <c r="M62" s="13"/>
      <c r="N62" s="13"/>
      <c r="O62" s="13"/>
      <c r="P62" s="13">
        <f t="shared" si="3"/>
        <v>-203.42531199999985</v>
      </c>
    </row>
    <row r="63" spans="1:16" ht="16.5" customHeight="1">
      <c r="A63" s="14"/>
      <c r="B63" s="15" t="s">
        <v>98</v>
      </c>
      <c r="C63" s="16" t="s">
        <v>59</v>
      </c>
      <c r="D63" s="89">
        <v>5000</v>
      </c>
      <c r="E63" s="89">
        <v>1000</v>
      </c>
      <c r="F63" s="89">
        <v>1000</v>
      </c>
      <c r="G63" s="89">
        <v>1000</v>
      </c>
      <c r="H63" s="89">
        <v>1000</v>
      </c>
      <c r="I63" s="89">
        <v>1000</v>
      </c>
      <c r="J63" s="89">
        <v>1000</v>
      </c>
      <c r="K63" s="89">
        <v>1000</v>
      </c>
      <c r="L63" s="89">
        <v>1000</v>
      </c>
      <c r="M63" s="89">
        <v>1000</v>
      </c>
      <c r="N63" s="89">
        <v>1000</v>
      </c>
      <c r="O63" s="89">
        <v>1000</v>
      </c>
      <c r="P63" s="90">
        <f t="shared" si="3"/>
        <v>16000</v>
      </c>
    </row>
    <row r="64" spans="1:16" ht="16.5" customHeight="1">
      <c r="A64" s="18"/>
      <c r="B64" s="12" t="s">
        <v>99</v>
      </c>
      <c r="C64" s="12" t="s">
        <v>58</v>
      </c>
      <c r="D64" s="13">
        <v>1756.4309929999999</v>
      </c>
      <c r="E64" s="13">
        <v>7497.8105919999998</v>
      </c>
      <c r="F64" s="13">
        <v>1043.838379</v>
      </c>
      <c r="G64" s="13"/>
      <c r="H64" s="13"/>
      <c r="I64" s="13"/>
      <c r="J64" s="13"/>
      <c r="K64" s="13"/>
      <c r="L64" s="13"/>
      <c r="M64" s="13"/>
      <c r="N64" s="13"/>
      <c r="O64" s="13"/>
      <c r="P64" s="13">
        <f t="shared" si="3"/>
        <v>10298.079964</v>
      </c>
    </row>
    <row r="65" spans="1:16" ht="16.5" customHeight="1">
      <c r="A65" s="14"/>
      <c r="B65" s="15" t="s">
        <v>99</v>
      </c>
      <c r="C65" s="16" t="s">
        <v>59</v>
      </c>
      <c r="D65" s="89">
        <v>5000</v>
      </c>
      <c r="E65" s="89">
        <v>3000</v>
      </c>
      <c r="F65" s="89">
        <v>3000</v>
      </c>
      <c r="G65" s="89">
        <v>2000</v>
      </c>
      <c r="H65" s="89">
        <v>1000</v>
      </c>
      <c r="I65" s="89">
        <v>1000</v>
      </c>
      <c r="J65" s="89">
        <v>1000</v>
      </c>
      <c r="K65" s="89">
        <v>3000</v>
      </c>
      <c r="L65" s="89">
        <v>5000</v>
      </c>
      <c r="M65" s="89">
        <v>4000</v>
      </c>
      <c r="N65" s="89">
        <v>4000</v>
      </c>
      <c r="O65" s="89">
        <v>5000</v>
      </c>
      <c r="P65" s="90">
        <f t="shared" si="3"/>
        <v>37000</v>
      </c>
    </row>
    <row r="66" spans="1:16" ht="16.5" customHeight="1">
      <c r="A66" s="18"/>
      <c r="B66" s="12" t="s">
        <v>100</v>
      </c>
      <c r="C66" s="12" t="s">
        <v>58</v>
      </c>
      <c r="D66" s="13">
        <v>2.8940049999999999</v>
      </c>
      <c r="E66" s="13">
        <v>42.601367000000003</v>
      </c>
      <c r="F66" s="13">
        <v>39.869312000000001</v>
      </c>
      <c r="G66" s="13"/>
      <c r="H66" s="13"/>
      <c r="I66" s="13"/>
      <c r="J66" s="13"/>
      <c r="K66" s="13"/>
      <c r="L66" s="13"/>
      <c r="M66" s="13"/>
      <c r="N66" s="13"/>
      <c r="O66" s="13"/>
      <c r="P66" s="13">
        <f t="shared" si="3"/>
        <v>85.364684000000011</v>
      </c>
    </row>
    <row r="67" spans="1:16" ht="16.5" customHeight="1">
      <c r="A67" s="14"/>
      <c r="B67" s="15" t="s">
        <v>100</v>
      </c>
      <c r="C67" s="16" t="s">
        <v>59</v>
      </c>
      <c r="D67" s="89">
        <v>0</v>
      </c>
      <c r="E67" s="89">
        <v>0</v>
      </c>
      <c r="F67" s="89">
        <v>0</v>
      </c>
      <c r="G67" s="89">
        <v>0</v>
      </c>
      <c r="H67" s="89">
        <v>0</v>
      </c>
      <c r="I67" s="89">
        <v>0</v>
      </c>
      <c r="J67" s="89">
        <v>0</v>
      </c>
      <c r="K67" s="89">
        <v>0</v>
      </c>
      <c r="L67" s="89">
        <v>0</v>
      </c>
      <c r="M67" s="89">
        <v>0</v>
      </c>
      <c r="N67" s="89">
        <v>0</v>
      </c>
      <c r="O67" s="89">
        <v>0</v>
      </c>
      <c r="P67" s="90">
        <f t="shared" si="3"/>
        <v>0</v>
      </c>
    </row>
    <row r="68" spans="1:16" ht="16.5" customHeight="1">
      <c r="A68" s="18"/>
      <c r="B68" s="12" t="s">
        <v>101</v>
      </c>
      <c r="C68" s="12" t="s">
        <v>58</v>
      </c>
      <c r="D68" s="13">
        <v>84.286657000000005</v>
      </c>
      <c r="E68" s="13">
        <v>268.819322</v>
      </c>
      <c r="F68" s="13">
        <v>-18.937923000000001</v>
      </c>
      <c r="G68" s="13"/>
      <c r="H68" s="13"/>
      <c r="I68" s="13"/>
      <c r="J68" s="13"/>
      <c r="K68" s="13"/>
      <c r="L68" s="13"/>
      <c r="M68" s="13"/>
      <c r="N68" s="13"/>
      <c r="O68" s="13"/>
      <c r="P68" s="13">
        <f t="shared" si="3"/>
        <v>334.16805599999998</v>
      </c>
    </row>
    <row r="69" spans="1:16" ht="16.5" customHeight="1">
      <c r="A69" s="14"/>
      <c r="B69" s="15" t="s">
        <v>101</v>
      </c>
      <c r="C69" s="16" t="s">
        <v>59</v>
      </c>
      <c r="D69" s="89">
        <v>100</v>
      </c>
      <c r="E69" s="89">
        <v>100</v>
      </c>
      <c r="F69" s="89">
        <v>100</v>
      </c>
      <c r="G69" s="89">
        <v>100</v>
      </c>
      <c r="H69" s="89">
        <v>100</v>
      </c>
      <c r="I69" s="89">
        <v>100</v>
      </c>
      <c r="J69" s="89">
        <v>100</v>
      </c>
      <c r="K69" s="89">
        <v>100</v>
      </c>
      <c r="L69" s="89">
        <v>100</v>
      </c>
      <c r="M69" s="89">
        <v>100</v>
      </c>
      <c r="N69" s="89">
        <v>100</v>
      </c>
      <c r="O69" s="89">
        <v>100</v>
      </c>
      <c r="P69" s="90">
        <f t="shared" si="3"/>
        <v>1200</v>
      </c>
    </row>
    <row r="70" spans="1:16" ht="16.5" customHeight="1">
      <c r="A70" s="18"/>
      <c r="B70" s="12" t="s">
        <v>102</v>
      </c>
      <c r="C70" s="12" t="s">
        <v>58</v>
      </c>
      <c r="D70" s="13">
        <v>353.48924799999998</v>
      </c>
      <c r="E70" s="13">
        <v>275.81461999999999</v>
      </c>
      <c r="F70" s="13">
        <v>355.83360499999998</v>
      </c>
      <c r="G70" s="13"/>
      <c r="H70" s="13"/>
      <c r="I70" s="13"/>
      <c r="J70" s="13"/>
      <c r="K70" s="13"/>
      <c r="L70" s="13"/>
      <c r="M70" s="13"/>
      <c r="N70" s="13"/>
      <c r="O70" s="13"/>
      <c r="P70" s="13">
        <f t="shared" si="3"/>
        <v>985.137473</v>
      </c>
    </row>
    <row r="71" spans="1:16" ht="16.5" customHeight="1">
      <c r="A71" s="14"/>
      <c r="B71" s="15" t="s">
        <v>102</v>
      </c>
      <c r="C71" s="16" t="s">
        <v>59</v>
      </c>
      <c r="D71" s="89">
        <v>500</v>
      </c>
      <c r="E71" s="89">
        <v>500</v>
      </c>
      <c r="F71" s="89">
        <v>500</v>
      </c>
      <c r="G71" s="89">
        <v>500</v>
      </c>
      <c r="H71" s="89">
        <v>500</v>
      </c>
      <c r="I71" s="89">
        <v>500</v>
      </c>
      <c r="J71" s="89">
        <v>500</v>
      </c>
      <c r="K71" s="89">
        <v>500</v>
      </c>
      <c r="L71" s="89">
        <v>500</v>
      </c>
      <c r="M71" s="89">
        <v>500</v>
      </c>
      <c r="N71" s="89">
        <v>500</v>
      </c>
      <c r="O71" s="89">
        <v>500</v>
      </c>
      <c r="P71" s="90">
        <f t="shared" si="3"/>
        <v>6000</v>
      </c>
    </row>
    <row r="72" spans="1:16" ht="16.5" customHeight="1">
      <c r="A72" s="18"/>
      <c r="B72" s="12" t="s">
        <v>103</v>
      </c>
      <c r="C72" s="12" t="s">
        <v>58</v>
      </c>
      <c r="D72" s="13">
        <v>2255.8121620000002</v>
      </c>
      <c r="E72" s="13">
        <v>2409.3806140000002</v>
      </c>
      <c r="F72" s="13">
        <v>577.10828400000003</v>
      </c>
      <c r="G72" s="13"/>
      <c r="H72" s="13"/>
      <c r="I72" s="13"/>
      <c r="J72" s="13"/>
      <c r="K72" s="13"/>
      <c r="L72" s="13"/>
      <c r="M72" s="13"/>
      <c r="N72" s="13"/>
      <c r="O72" s="13"/>
      <c r="P72" s="13">
        <f t="shared" si="3"/>
        <v>5242.3010599999998</v>
      </c>
    </row>
    <row r="73" spans="1:16" ht="16.5" customHeight="1">
      <c r="A73" s="14"/>
      <c r="B73" s="15" t="s">
        <v>103</v>
      </c>
      <c r="C73" s="16" t="s">
        <v>59</v>
      </c>
      <c r="D73" s="89">
        <v>1000</v>
      </c>
      <c r="E73" s="89">
        <v>1000</v>
      </c>
      <c r="F73" s="89">
        <v>1000</v>
      </c>
      <c r="G73" s="89">
        <v>1000</v>
      </c>
      <c r="H73" s="89">
        <v>1000</v>
      </c>
      <c r="I73" s="89">
        <v>1000</v>
      </c>
      <c r="J73" s="89">
        <v>1000</v>
      </c>
      <c r="K73" s="89">
        <v>1000</v>
      </c>
      <c r="L73" s="89">
        <v>1000</v>
      </c>
      <c r="M73" s="89">
        <v>1000</v>
      </c>
      <c r="N73" s="89">
        <v>1000</v>
      </c>
      <c r="O73" s="89">
        <v>1000</v>
      </c>
      <c r="P73" s="90">
        <f t="shared" si="3"/>
        <v>12000</v>
      </c>
    </row>
    <row r="74" spans="1:16" ht="16.5" customHeight="1">
      <c r="A74" s="18"/>
      <c r="B74" s="12" t="s">
        <v>104</v>
      </c>
      <c r="C74" s="12" t="s">
        <v>58</v>
      </c>
      <c r="D74" s="13">
        <v>4598.3042939999996</v>
      </c>
      <c r="E74" s="13">
        <v>1835.8361030000001</v>
      </c>
      <c r="F74" s="13">
        <v>2995.1122559999999</v>
      </c>
      <c r="G74" s="13"/>
      <c r="H74" s="13"/>
      <c r="I74" s="13"/>
      <c r="J74" s="13"/>
      <c r="K74" s="13"/>
      <c r="L74" s="13"/>
      <c r="M74" s="13"/>
      <c r="N74" s="13"/>
      <c r="O74" s="13"/>
      <c r="P74" s="13">
        <f t="shared" si="3"/>
        <v>9429.2526529999996</v>
      </c>
    </row>
    <row r="75" spans="1:16" ht="16.5" customHeight="1">
      <c r="A75" s="14"/>
      <c r="B75" s="15" t="s">
        <v>104</v>
      </c>
      <c r="C75" s="16" t="s">
        <v>59</v>
      </c>
      <c r="D75" s="89">
        <v>15000</v>
      </c>
      <c r="E75" s="89">
        <v>12000</v>
      </c>
      <c r="F75" s="89">
        <v>10000</v>
      </c>
      <c r="G75" s="89">
        <v>8000</v>
      </c>
      <c r="H75" s="89">
        <v>3000</v>
      </c>
      <c r="I75" s="89">
        <v>3000</v>
      </c>
      <c r="J75" s="89">
        <v>3000</v>
      </c>
      <c r="K75" s="89">
        <v>5000</v>
      </c>
      <c r="L75" s="89">
        <v>10000</v>
      </c>
      <c r="M75" s="89">
        <v>8000</v>
      </c>
      <c r="N75" s="89">
        <v>8000</v>
      </c>
      <c r="O75" s="89">
        <v>10000</v>
      </c>
      <c r="P75" s="90">
        <f t="shared" si="3"/>
        <v>95000</v>
      </c>
    </row>
    <row r="76" spans="1:16" ht="16.5" customHeight="1">
      <c r="A76" s="18"/>
      <c r="B76" s="12" t="s">
        <v>105</v>
      </c>
      <c r="C76" s="12" t="s">
        <v>58</v>
      </c>
      <c r="D76" s="13">
        <v>-453.70795600000002</v>
      </c>
      <c r="E76" s="13">
        <v>9662.2558310000004</v>
      </c>
      <c r="F76" s="13">
        <v>4833.3067970000002</v>
      </c>
      <c r="G76" s="13"/>
      <c r="H76" s="13"/>
      <c r="I76" s="13"/>
      <c r="J76" s="13"/>
      <c r="K76" s="13"/>
      <c r="L76" s="13"/>
      <c r="M76" s="13"/>
      <c r="N76" s="13"/>
      <c r="O76" s="13"/>
      <c r="P76" s="13">
        <f t="shared" si="3"/>
        <v>14041.854672000001</v>
      </c>
    </row>
    <row r="77" spans="1:16" ht="16.5" customHeight="1">
      <c r="A77" s="14"/>
      <c r="B77" s="15" t="s">
        <v>105</v>
      </c>
      <c r="C77" s="16" t="s">
        <v>59</v>
      </c>
      <c r="D77" s="89">
        <v>5000</v>
      </c>
      <c r="E77" s="89">
        <v>1000</v>
      </c>
      <c r="F77" s="89">
        <v>1000</v>
      </c>
      <c r="G77" s="89">
        <v>1000</v>
      </c>
      <c r="H77" s="89">
        <v>1000</v>
      </c>
      <c r="I77" s="89">
        <v>1000</v>
      </c>
      <c r="J77" s="89">
        <v>1000</v>
      </c>
      <c r="K77" s="89">
        <v>1000</v>
      </c>
      <c r="L77" s="89">
        <v>1000</v>
      </c>
      <c r="M77" s="89">
        <v>1000</v>
      </c>
      <c r="N77" s="89">
        <v>1000</v>
      </c>
      <c r="O77" s="89">
        <v>1000</v>
      </c>
      <c r="P77" s="90">
        <f t="shared" si="3"/>
        <v>16000</v>
      </c>
    </row>
    <row r="78" spans="1:16" ht="16.5" customHeight="1">
      <c r="A78" s="18"/>
      <c r="B78" s="12" t="s">
        <v>106</v>
      </c>
      <c r="C78" s="12" t="s">
        <v>58</v>
      </c>
      <c r="D78" s="13">
        <v>2133.9535030000002</v>
      </c>
      <c r="E78" s="13">
        <v>3677.5282699999998</v>
      </c>
      <c r="F78" s="13">
        <v>1909.7400210000001</v>
      </c>
      <c r="G78" s="13"/>
      <c r="H78" s="13"/>
      <c r="I78" s="13"/>
      <c r="J78" s="13"/>
      <c r="K78" s="13"/>
      <c r="L78" s="13"/>
      <c r="M78" s="13"/>
      <c r="N78" s="13"/>
      <c r="O78" s="13"/>
      <c r="P78" s="13">
        <f t="shared" si="3"/>
        <v>7721.2217939999991</v>
      </c>
    </row>
    <row r="79" spans="1:16" ht="16.5" customHeight="1">
      <c r="A79" s="14"/>
      <c r="B79" s="15" t="s">
        <v>106</v>
      </c>
      <c r="C79" s="16" t="s">
        <v>59</v>
      </c>
      <c r="D79" s="89">
        <v>5000</v>
      </c>
      <c r="E79" s="89">
        <v>3000</v>
      </c>
      <c r="F79" s="89">
        <v>3000</v>
      </c>
      <c r="G79" s="89">
        <v>2000</v>
      </c>
      <c r="H79" s="89">
        <v>1000</v>
      </c>
      <c r="I79" s="89">
        <v>1000</v>
      </c>
      <c r="J79" s="89">
        <v>1000</v>
      </c>
      <c r="K79" s="89">
        <v>1000</v>
      </c>
      <c r="L79" s="89">
        <v>1000</v>
      </c>
      <c r="M79" s="89">
        <v>1000</v>
      </c>
      <c r="N79" s="89">
        <v>1000</v>
      </c>
      <c r="O79" s="89">
        <v>1000</v>
      </c>
      <c r="P79" s="90">
        <f t="shared" si="3"/>
        <v>21000</v>
      </c>
    </row>
    <row r="80" spans="1:16" ht="16.5" customHeight="1">
      <c r="A80" s="18"/>
      <c r="B80" s="12" t="s">
        <v>107</v>
      </c>
      <c r="C80" s="12" t="s">
        <v>58</v>
      </c>
      <c r="D80" s="13">
        <v>142.196808</v>
      </c>
      <c r="E80" s="13">
        <v>69.952983000000003</v>
      </c>
      <c r="F80" s="13">
        <v>-849.13659600000005</v>
      </c>
      <c r="G80" s="13"/>
      <c r="H80" s="13"/>
      <c r="I80" s="13"/>
      <c r="J80" s="13"/>
      <c r="K80" s="13"/>
      <c r="L80" s="13"/>
      <c r="M80" s="13"/>
      <c r="N80" s="13"/>
      <c r="O80" s="13"/>
      <c r="P80" s="13">
        <f t="shared" ref="P80:P111" si="4">SUM(D80:O80)</f>
        <v>-636.986805</v>
      </c>
    </row>
    <row r="81" spans="1:16" ht="16.5" customHeight="1">
      <c r="A81" s="14"/>
      <c r="B81" s="15" t="s">
        <v>107</v>
      </c>
      <c r="C81" s="16" t="s">
        <v>59</v>
      </c>
      <c r="D81" s="89">
        <v>500</v>
      </c>
      <c r="E81" s="89">
        <v>500</v>
      </c>
      <c r="F81" s="89">
        <v>500</v>
      </c>
      <c r="G81" s="89">
        <v>500</v>
      </c>
      <c r="H81" s="89">
        <v>500</v>
      </c>
      <c r="I81" s="89">
        <v>500</v>
      </c>
      <c r="J81" s="89">
        <v>500</v>
      </c>
      <c r="K81" s="89">
        <v>500</v>
      </c>
      <c r="L81" s="89">
        <v>500</v>
      </c>
      <c r="M81" s="89">
        <v>500</v>
      </c>
      <c r="N81" s="89">
        <v>500</v>
      </c>
      <c r="O81" s="89">
        <v>500</v>
      </c>
      <c r="P81" s="90">
        <f t="shared" si="4"/>
        <v>6000</v>
      </c>
    </row>
    <row r="82" spans="1:16" ht="16.5" customHeight="1">
      <c r="A82" s="18"/>
      <c r="B82" s="12" t="s">
        <v>108</v>
      </c>
      <c r="C82" s="12" t="s">
        <v>58</v>
      </c>
      <c r="D82" s="13">
        <v>4363.5493809999998</v>
      </c>
      <c r="E82" s="13">
        <v>5298.6386929999999</v>
      </c>
      <c r="F82" s="13">
        <v>5417.3922110000003</v>
      </c>
      <c r="G82" s="13"/>
      <c r="H82" s="13"/>
      <c r="I82" s="13"/>
      <c r="J82" s="13"/>
      <c r="K82" s="13"/>
      <c r="L82" s="13"/>
      <c r="M82" s="13"/>
      <c r="N82" s="13"/>
      <c r="O82" s="13"/>
      <c r="P82" s="13">
        <f t="shared" si="4"/>
        <v>15079.580285</v>
      </c>
    </row>
    <row r="83" spans="1:16" ht="16.5" customHeight="1">
      <c r="A83" s="14"/>
      <c r="B83" s="15" t="s">
        <v>108</v>
      </c>
      <c r="C83" s="16" t="s">
        <v>59</v>
      </c>
      <c r="D83" s="89">
        <v>20000</v>
      </c>
      <c r="E83" s="89">
        <v>10000</v>
      </c>
      <c r="F83" s="89">
        <v>5000</v>
      </c>
      <c r="G83" s="89">
        <v>3000</v>
      </c>
      <c r="H83" s="89">
        <v>3000</v>
      </c>
      <c r="I83" s="89">
        <v>3000</v>
      </c>
      <c r="J83" s="89">
        <v>3000</v>
      </c>
      <c r="K83" s="89">
        <v>4000</v>
      </c>
      <c r="L83" s="89">
        <v>8000</v>
      </c>
      <c r="M83" s="89">
        <v>5000</v>
      </c>
      <c r="N83" s="89">
        <v>5000</v>
      </c>
      <c r="O83" s="89">
        <v>5000</v>
      </c>
      <c r="P83" s="90">
        <f t="shared" si="4"/>
        <v>74000</v>
      </c>
    </row>
    <row r="84" spans="1:16" ht="16.5" customHeight="1">
      <c r="A84" s="18"/>
      <c r="B84" s="12" t="s">
        <v>109</v>
      </c>
      <c r="C84" s="12" t="s">
        <v>58</v>
      </c>
      <c r="D84" s="13">
        <v>936.26584100000002</v>
      </c>
      <c r="E84" s="13">
        <v>-432.94900699999999</v>
      </c>
      <c r="F84" s="13">
        <v>-426.49199299999998</v>
      </c>
      <c r="G84" s="13"/>
      <c r="H84" s="13"/>
      <c r="I84" s="13"/>
      <c r="J84" s="13"/>
      <c r="K84" s="13"/>
      <c r="L84" s="13"/>
      <c r="M84" s="13"/>
      <c r="N84" s="13"/>
      <c r="O84" s="13"/>
      <c r="P84" s="13">
        <f t="shared" si="4"/>
        <v>76.824841000000049</v>
      </c>
    </row>
    <row r="85" spans="1:16" ht="16.5" customHeight="1">
      <c r="A85" s="14"/>
      <c r="B85" s="15" t="s">
        <v>109</v>
      </c>
      <c r="C85" s="16" t="s">
        <v>59</v>
      </c>
      <c r="D85" s="89">
        <v>500</v>
      </c>
      <c r="E85" s="89">
        <v>500</v>
      </c>
      <c r="F85" s="89">
        <v>500</v>
      </c>
      <c r="G85" s="89">
        <v>500</v>
      </c>
      <c r="H85" s="89">
        <v>500</v>
      </c>
      <c r="I85" s="89">
        <v>500</v>
      </c>
      <c r="J85" s="89">
        <v>500</v>
      </c>
      <c r="K85" s="89">
        <v>500</v>
      </c>
      <c r="L85" s="89">
        <v>500</v>
      </c>
      <c r="M85" s="89">
        <v>500</v>
      </c>
      <c r="N85" s="89">
        <v>500</v>
      </c>
      <c r="O85" s="89">
        <v>500</v>
      </c>
      <c r="P85" s="90">
        <f t="shared" si="4"/>
        <v>6000</v>
      </c>
    </row>
    <row r="86" spans="1:16" ht="16.5" customHeight="1">
      <c r="A86" s="18"/>
      <c r="B86" s="12" t="s">
        <v>110</v>
      </c>
      <c r="C86" s="12" t="s">
        <v>58</v>
      </c>
      <c r="D86" s="13">
        <v>1059.3762320000001</v>
      </c>
      <c r="E86" s="13">
        <v>485.38376499999998</v>
      </c>
      <c r="F86" s="13">
        <v>-1908.3346280000001</v>
      </c>
      <c r="G86" s="13"/>
      <c r="H86" s="13"/>
      <c r="I86" s="13"/>
      <c r="J86" s="13"/>
      <c r="K86" s="13"/>
      <c r="L86" s="13"/>
      <c r="M86" s="13"/>
      <c r="N86" s="13"/>
      <c r="O86" s="13"/>
      <c r="P86" s="13">
        <f t="shared" si="4"/>
        <v>-363.57463099999995</v>
      </c>
    </row>
    <row r="87" spans="1:16" ht="16.5" customHeight="1">
      <c r="A87" s="14"/>
      <c r="B87" s="15" t="s">
        <v>110</v>
      </c>
      <c r="C87" s="16" t="s">
        <v>59</v>
      </c>
      <c r="D87" s="89">
        <v>500</v>
      </c>
      <c r="E87" s="89">
        <v>500</v>
      </c>
      <c r="F87" s="89">
        <v>500</v>
      </c>
      <c r="G87" s="89">
        <v>500</v>
      </c>
      <c r="H87" s="89">
        <v>500</v>
      </c>
      <c r="I87" s="89">
        <v>500</v>
      </c>
      <c r="J87" s="89">
        <v>500</v>
      </c>
      <c r="K87" s="89">
        <v>500</v>
      </c>
      <c r="L87" s="89">
        <v>500</v>
      </c>
      <c r="M87" s="89">
        <v>500</v>
      </c>
      <c r="N87" s="89">
        <v>500</v>
      </c>
      <c r="O87" s="89">
        <v>500</v>
      </c>
      <c r="P87" s="90">
        <f t="shared" si="4"/>
        <v>6000</v>
      </c>
    </row>
    <row r="88" spans="1:16" ht="16.5" customHeight="1">
      <c r="A88" s="18"/>
      <c r="B88" s="12" t="s">
        <v>111</v>
      </c>
      <c r="C88" s="12" t="s">
        <v>58</v>
      </c>
      <c r="D88" s="13">
        <v>-2553.5342249999999</v>
      </c>
      <c r="E88" s="13">
        <v>778.41681300000005</v>
      </c>
      <c r="F88" s="13">
        <v>-4.9836640000000001</v>
      </c>
      <c r="G88" s="13"/>
      <c r="H88" s="13"/>
      <c r="I88" s="13"/>
      <c r="J88" s="13"/>
      <c r="K88" s="13"/>
      <c r="L88" s="13"/>
      <c r="M88" s="13"/>
      <c r="N88" s="13"/>
      <c r="O88" s="13"/>
      <c r="P88" s="13">
        <f t="shared" si="4"/>
        <v>-1780.1010759999999</v>
      </c>
    </row>
    <row r="89" spans="1:16" ht="16.5" customHeight="1">
      <c r="A89" s="14"/>
      <c r="B89" s="15" t="s">
        <v>111</v>
      </c>
      <c r="C89" s="16" t="s">
        <v>59</v>
      </c>
      <c r="D89" s="89">
        <v>500</v>
      </c>
      <c r="E89" s="89">
        <v>500</v>
      </c>
      <c r="F89" s="89">
        <v>500</v>
      </c>
      <c r="G89" s="89">
        <v>500</v>
      </c>
      <c r="H89" s="89">
        <v>500</v>
      </c>
      <c r="I89" s="89">
        <v>500</v>
      </c>
      <c r="J89" s="89">
        <v>500</v>
      </c>
      <c r="K89" s="89">
        <v>500</v>
      </c>
      <c r="L89" s="89">
        <v>500</v>
      </c>
      <c r="M89" s="89">
        <v>500</v>
      </c>
      <c r="N89" s="89">
        <v>500</v>
      </c>
      <c r="O89" s="89">
        <v>500</v>
      </c>
      <c r="P89" s="90">
        <f t="shared" si="4"/>
        <v>6000</v>
      </c>
    </row>
    <row r="90" spans="1:16" ht="16.5" customHeight="1">
      <c r="A90" s="18"/>
      <c r="B90" s="12" t="s">
        <v>112</v>
      </c>
      <c r="C90" s="12" t="s">
        <v>58</v>
      </c>
      <c r="D90" s="13">
        <v>0</v>
      </c>
      <c r="E90" s="13">
        <v>0</v>
      </c>
      <c r="F90" s="13">
        <v>0</v>
      </c>
      <c r="G90" s="13"/>
      <c r="H90" s="13"/>
      <c r="I90" s="13"/>
      <c r="J90" s="13"/>
      <c r="K90" s="13"/>
      <c r="L90" s="13"/>
      <c r="M90" s="13"/>
      <c r="N90" s="13"/>
      <c r="O90" s="13"/>
      <c r="P90" s="13">
        <f t="shared" si="4"/>
        <v>0</v>
      </c>
    </row>
    <row r="91" spans="1:16" ht="16.5" customHeight="1">
      <c r="A91" s="14"/>
      <c r="B91" s="15" t="s">
        <v>112</v>
      </c>
      <c r="C91" s="16" t="s">
        <v>59</v>
      </c>
      <c r="D91" s="89">
        <v>500</v>
      </c>
      <c r="E91" s="89">
        <v>500</v>
      </c>
      <c r="F91" s="89">
        <v>500</v>
      </c>
      <c r="G91" s="89">
        <v>500</v>
      </c>
      <c r="H91" s="89">
        <v>500</v>
      </c>
      <c r="I91" s="89">
        <v>500</v>
      </c>
      <c r="J91" s="89">
        <v>500</v>
      </c>
      <c r="K91" s="89">
        <v>500</v>
      </c>
      <c r="L91" s="89">
        <v>500</v>
      </c>
      <c r="M91" s="89">
        <v>500</v>
      </c>
      <c r="N91" s="89">
        <v>500</v>
      </c>
      <c r="O91" s="89">
        <v>500</v>
      </c>
      <c r="P91" s="90">
        <f t="shared" si="4"/>
        <v>6000</v>
      </c>
    </row>
    <row r="92" spans="1:16" ht="16.5" customHeight="1">
      <c r="A92" s="18"/>
      <c r="B92" s="12" t="s">
        <v>113</v>
      </c>
      <c r="C92" s="12" t="s">
        <v>58</v>
      </c>
      <c r="D92" s="13">
        <v>75517.580287999997</v>
      </c>
      <c r="E92" s="13">
        <v>62921.899102000003</v>
      </c>
      <c r="F92" s="13">
        <v>3415.6736879999999</v>
      </c>
      <c r="G92" s="13"/>
      <c r="H92" s="13"/>
      <c r="I92" s="13"/>
      <c r="J92" s="13"/>
      <c r="K92" s="13"/>
      <c r="L92" s="13"/>
      <c r="M92" s="13"/>
      <c r="N92" s="13"/>
      <c r="O92" s="13"/>
      <c r="P92" s="13">
        <f t="shared" si="4"/>
        <v>141855.153078</v>
      </c>
    </row>
    <row r="93" spans="1:16" ht="16.5" customHeight="1">
      <c r="A93" s="14"/>
      <c r="B93" s="15" t="s">
        <v>113</v>
      </c>
      <c r="C93" s="16" t="s">
        <v>59</v>
      </c>
      <c r="D93" s="89">
        <v>50000</v>
      </c>
      <c r="E93" s="89">
        <v>20000</v>
      </c>
      <c r="F93" s="89">
        <v>20000</v>
      </c>
      <c r="G93" s="89">
        <v>10000</v>
      </c>
      <c r="H93" s="89">
        <v>5000</v>
      </c>
      <c r="I93" s="89">
        <v>5000</v>
      </c>
      <c r="J93" s="89">
        <v>5000</v>
      </c>
      <c r="K93" s="89">
        <v>10000</v>
      </c>
      <c r="L93" s="89">
        <v>25000</v>
      </c>
      <c r="M93" s="89">
        <v>20000</v>
      </c>
      <c r="N93" s="89">
        <v>20000</v>
      </c>
      <c r="O93" s="89">
        <v>25000</v>
      </c>
      <c r="P93" s="90">
        <f t="shared" si="4"/>
        <v>215000</v>
      </c>
    </row>
    <row r="94" spans="1:16" ht="16.5" customHeight="1">
      <c r="A94" s="18"/>
      <c r="B94" s="12" t="s">
        <v>114</v>
      </c>
      <c r="C94" s="12" t="s">
        <v>58</v>
      </c>
      <c r="D94" s="13">
        <v>10202.616908</v>
      </c>
      <c r="E94" s="13">
        <v>11728.955408</v>
      </c>
      <c r="F94" s="13">
        <v>13670.576889</v>
      </c>
      <c r="G94" s="13"/>
      <c r="H94" s="13"/>
      <c r="I94" s="13"/>
      <c r="J94" s="13"/>
      <c r="K94" s="13"/>
      <c r="L94" s="13"/>
      <c r="M94" s="13"/>
      <c r="N94" s="13"/>
      <c r="O94" s="13"/>
      <c r="P94" s="13">
        <f t="shared" si="4"/>
        <v>35602.149204999994</v>
      </c>
    </row>
    <row r="95" spans="1:16" ht="16.5" customHeight="1">
      <c r="A95" s="14"/>
      <c r="B95" s="15" t="s">
        <v>114</v>
      </c>
      <c r="C95" s="16" t="s">
        <v>59</v>
      </c>
      <c r="D95" s="89">
        <v>15000</v>
      </c>
      <c r="E95" s="89">
        <v>15000</v>
      </c>
      <c r="F95" s="89">
        <v>15000</v>
      </c>
      <c r="G95" s="89">
        <v>15000</v>
      </c>
      <c r="H95" s="89">
        <v>15000</v>
      </c>
      <c r="I95" s="89">
        <v>15000</v>
      </c>
      <c r="J95" s="89">
        <v>20000</v>
      </c>
      <c r="K95" s="89">
        <v>20000</v>
      </c>
      <c r="L95" s="89">
        <v>20000</v>
      </c>
      <c r="M95" s="89">
        <v>30000</v>
      </c>
      <c r="N95" s="89">
        <v>30000</v>
      </c>
      <c r="O95" s="89">
        <v>30000</v>
      </c>
      <c r="P95" s="90">
        <f t="shared" si="4"/>
        <v>240000</v>
      </c>
    </row>
    <row r="96" spans="1:16" ht="16.5" customHeight="1">
      <c r="A96" s="18"/>
      <c r="B96" s="12" t="s">
        <v>115</v>
      </c>
      <c r="C96" s="12" t="s">
        <v>58</v>
      </c>
      <c r="D96" s="13">
        <v>564.95599800000002</v>
      </c>
      <c r="E96" s="13">
        <v>935.49918200000002</v>
      </c>
      <c r="F96" s="13">
        <v>209.729871</v>
      </c>
      <c r="G96" s="13"/>
      <c r="H96" s="13"/>
      <c r="I96" s="13"/>
      <c r="J96" s="13"/>
      <c r="K96" s="13"/>
      <c r="L96" s="13"/>
      <c r="M96" s="13"/>
      <c r="N96" s="13"/>
      <c r="O96" s="13"/>
      <c r="P96" s="13">
        <f t="shared" si="4"/>
        <v>1710.1850509999999</v>
      </c>
    </row>
    <row r="97" spans="1:16" ht="16.5" customHeight="1">
      <c r="A97" s="14"/>
      <c r="B97" s="15" t="s">
        <v>115</v>
      </c>
      <c r="C97" s="16" t="s">
        <v>59</v>
      </c>
      <c r="D97" s="89">
        <v>500</v>
      </c>
      <c r="E97" s="89">
        <v>500</v>
      </c>
      <c r="F97" s="89">
        <v>500</v>
      </c>
      <c r="G97" s="89">
        <v>500</v>
      </c>
      <c r="H97" s="89">
        <v>500</v>
      </c>
      <c r="I97" s="89">
        <v>500</v>
      </c>
      <c r="J97" s="89">
        <v>500</v>
      </c>
      <c r="K97" s="89">
        <v>500</v>
      </c>
      <c r="L97" s="89">
        <v>500</v>
      </c>
      <c r="M97" s="89">
        <v>500</v>
      </c>
      <c r="N97" s="89">
        <v>500</v>
      </c>
      <c r="O97" s="89">
        <v>500</v>
      </c>
      <c r="P97" s="90">
        <f t="shared" si="4"/>
        <v>6000</v>
      </c>
    </row>
    <row r="98" spans="1:16" ht="16.5" customHeight="1">
      <c r="A98" s="18"/>
      <c r="B98" s="12" t="s">
        <v>116</v>
      </c>
      <c r="C98" s="12" t="s">
        <v>58</v>
      </c>
      <c r="D98" s="13">
        <v>251.00370000000001</v>
      </c>
      <c r="E98" s="13">
        <v>-133.23708099999999</v>
      </c>
      <c r="F98" s="13">
        <v>516.74519299999997</v>
      </c>
      <c r="G98" s="13"/>
      <c r="H98" s="13"/>
      <c r="I98" s="13"/>
      <c r="J98" s="13"/>
      <c r="K98" s="13"/>
      <c r="L98" s="13"/>
      <c r="M98" s="13"/>
      <c r="N98" s="13"/>
      <c r="O98" s="13"/>
      <c r="P98" s="13">
        <f t="shared" si="4"/>
        <v>634.51181199999996</v>
      </c>
    </row>
    <row r="99" spans="1:16" ht="16.5" customHeight="1">
      <c r="A99" s="14"/>
      <c r="B99" s="15" t="s">
        <v>116</v>
      </c>
      <c r="C99" s="16" t="s">
        <v>59</v>
      </c>
      <c r="D99" s="89">
        <v>0</v>
      </c>
      <c r="E99" s="89">
        <v>0</v>
      </c>
      <c r="F99" s="89">
        <v>0</v>
      </c>
      <c r="G99" s="89">
        <v>0</v>
      </c>
      <c r="H99" s="89">
        <v>0</v>
      </c>
      <c r="I99" s="89">
        <v>0</v>
      </c>
      <c r="J99" s="89">
        <v>0</v>
      </c>
      <c r="K99" s="89">
        <v>0</v>
      </c>
      <c r="L99" s="89">
        <v>0</v>
      </c>
      <c r="M99" s="89">
        <v>0</v>
      </c>
      <c r="N99" s="89">
        <v>0</v>
      </c>
      <c r="O99" s="89">
        <v>0</v>
      </c>
      <c r="P99" s="90">
        <f t="shared" si="4"/>
        <v>0</v>
      </c>
    </row>
    <row r="100" spans="1:16" ht="16.5" customHeight="1">
      <c r="A100" s="18"/>
      <c r="B100" s="12" t="s">
        <v>117</v>
      </c>
      <c r="C100" s="12" t="s">
        <v>58</v>
      </c>
      <c r="D100" s="13">
        <v>202.818637</v>
      </c>
      <c r="E100" s="13">
        <v>86.489926999999994</v>
      </c>
      <c r="F100" s="13">
        <v>106.29764299999999</v>
      </c>
      <c r="G100" s="13"/>
      <c r="H100" s="13"/>
      <c r="I100" s="13"/>
      <c r="J100" s="13"/>
      <c r="K100" s="13"/>
      <c r="L100" s="13"/>
      <c r="M100" s="13"/>
      <c r="N100" s="13"/>
      <c r="O100" s="13"/>
      <c r="P100" s="13">
        <f t="shared" si="4"/>
        <v>395.60620699999998</v>
      </c>
    </row>
    <row r="101" spans="1:16" ht="16.5" customHeight="1">
      <c r="A101" s="14"/>
      <c r="B101" s="15" t="s">
        <v>117</v>
      </c>
      <c r="C101" s="16" t="s">
        <v>59</v>
      </c>
      <c r="D101" s="89">
        <v>0</v>
      </c>
      <c r="E101" s="89">
        <v>0</v>
      </c>
      <c r="F101" s="89">
        <v>0</v>
      </c>
      <c r="G101" s="89">
        <v>0</v>
      </c>
      <c r="H101" s="89">
        <v>0</v>
      </c>
      <c r="I101" s="89">
        <v>0</v>
      </c>
      <c r="J101" s="89">
        <v>0</v>
      </c>
      <c r="K101" s="89">
        <v>0</v>
      </c>
      <c r="L101" s="89">
        <v>0</v>
      </c>
      <c r="M101" s="89">
        <v>0</v>
      </c>
      <c r="N101" s="89">
        <v>0</v>
      </c>
      <c r="O101" s="89">
        <v>0</v>
      </c>
      <c r="P101" s="90">
        <f t="shared" si="4"/>
        <v>0</v>
      </c>
    </row>
    <row r="102" spans="1:16" ht="16.5" customHeight="1">
      <c r="A102" s="37" t="s">
        <v>118</v>
      </c>
      <c r="B102" s="37"/>
      <c r="C102" s="37"/>
      <c r="D102" s="85"/>
      <c r="E102" s="85"/>
      <c r="F102" s="85"/>
      <c r="G102" s="85"/>
      <c r="H102" s="85"/>
      <c r="I102" s="85"/>
      <c r="J102" s="85"/>
      <c r="K102" s="85"/>
      <c r="L102" s="85"/>
      <c r="M102" s="85"/>
      <c r="N102" s="85"/>
      <c r="O102" s="85"/>
      <c r="P102" s="85"/>
    </row>
    <row r="103" spans="1:16" ht="16.5" customHeight="1">
      <c r="A103" s="11" t="s">
        <v>119</v>
      </c>
      <c r="B103" s="12" t="s">
        <v>120</v>
      </c>
      <c r="C103" s="12" t="s">
        <v>58</v>
      </c>
      <c r="D103" s="13">
        <v>1498879.993674</v>
      </c>
      <c r="E103" s="13">
        <v>1372295.0367429999</v>
      </c>
      <c r="F103" s="13">
        <v>1352236.1753080001</v>
      </c>
      <c r="G103" s="13"/>
      <c r="H103" s="13"/>
      <c r="I103" s="13"/>
      <c r="J103" s="13"/>
      <c r="K103" s="13"/>
      <c r="L103" s="13"/>
      <c r="M103" s="13"/>
      <c r="N103" s="13"/>
      <c r="O103" s="13"/>
      <c r="P103" s="13">
        <f t="shared" ref="P103:P112" si="5">SUM(D103:O103)</f>
        <v>4223411.2057250002</v>
      </c>
    </row>
    <row r="104" spans="1:16" ht="16.5" customHeight="1">
      <c r="A104" s="14"/>
      <c r="B104" s="15" t="s">
        <v>120</v>
      </c>
      <c r="C104" s="16" t="s">
        <v>59</v>
      </c>
      <c r="D104" s="89">
        <v>1526458</v>
      </c>
      <c r="E104" s="89">
        <v>1440286</v>
      </c>
      <c r="F104" s="89">
        <v>1415579</v>
      </c>
      <c r="G104" s="89">
        <v>1288619</v>
      </c>
      <c r="H104" s="89">
        <v>1239950</v>
      </c>
      <c r="I104" s="89">
        <v>1146396</v>
      </c>
      <c r="J104" s="89">
        <v>1072744</v>
      </c>
      <c r="K104" s="89">
        <v>1050237</v>
      </c>
      <c r="L104" s="89">
        <v>1301571</v>
      </c>
      <c r="M104" s="89">
        <v>1486809</v>
      </c>
      <c r="N104" s="89">
        <v>1615194</v>
      </c>
      <c r="O104" s="89">
        <v>1612359</v>
      </c>
      <c r="P104" s="90">
        <f t="shared" si="5"/>
        <v>16196202</v>
      </c>
    </row>
    <row r="105" spans="1:16" ht="16.5" customHeight="1">
      <c r="A105" s="18"/>
      <c r="B105" s="12" t="s">
        <v>121</v>
      </c>
      <c r="C105" s="12" t="s">
        <v>58</v>
      </c>
      <c r="D105" s="13">
        <v>0</v>
      </c>
      <c r="E105" s="13">
        <v>0</v>
      </c>
      <c r="F105" s="13">
        <v>0</v>
      </c>
      <c r="G105" s="13">
        <v>0</v>
      </c>
      <c r="H105" s="13">
        <v>0</v>
      </c>
      <c r="I105" s="13">
        <v>0</v>
      </c>
      <c r="J105" s="13">
        <v>0</v>
      </c>
      <c r="K105" s="13">
        <v>0</v>
      </c>
      <c r="L105" s="13">
        <v>0</v>
      </c>
      <c r="M105" s="13">
        <v>0</v>
      </c>
      <c r="N105" s="13">
        <v>0</v>
      </c>
      <c r="O105" s="13">
        <v>0</v>
      </c>
      <c r="P105" s="13">
        <f t="shared" si="5"/>
        <v>0</v>
      </c>
    </row>
    <row r="106" spans="1:16" ht="16.5" customHeight="1">
      <c r="A106" s="14"/>
      <c r="B106" s="15" t="s">
        <v>121</v>
      </c>
      <c r="C106" s="16" t="s">
        <v>59</v>
      </c>
      <c r="D106" s="89">
        <v>0</v>
      </c>
      <c r="E106" s="89">
        <v>0</v>
      </c>
      <c r="F106" s="89">
        <v>0</v>
      </c>
      <c r="G106" s="89">
        <v>0</v>
      </c>
      <c r="H106" s="89">
        <v>0</v>
      </c>
      <c r="I106" s="89">
        <v>0</v>
      </c>
      <c r="J106" s="89">
        <v>0</v>
      </c>
      <c r="K106" s="89">
        <v>0</v>
      </c>
      <c r="L106" s="89">
        <v>0</v>
      </c>
      <c r="M106" s="89">
        <v>0</v>
      </c>
      <c r="N106" s="89">
        <v>0</v>
      </c>
      <c r="O106" s="89">
        <v>0</v>
      </c>
      <c r="P106" s="90">
        <f t="shared" si="5"/>
        <v>0</v>
      </c>
    </row>
    <row r="107" spans="1:16" ht="16.5" customHeight="1">
      <c r="A107" s="18"/>
      <c r="B107" s="12" t="s">
        <v>122</v>
      </c>
      <c r="C107" s="12" t="s">
        <v>58</v>
      </c>
      <c r="D107" s="13">
        <v>92646.238203000001</v>
      </c>
      <c r="E107" s="13">
        <v>62782.832570999999</v>
      </c>
      <c r="F107" s="13">
        <v>92995.439163999996</v>
      </c>
      <c r="G107" s="13"/>
      <c r="H107" s="13"/>
      <c r="I107" s="13"/>
      <c r="J107" s="13"/>
      <c r="K107" s="13"/>
      <c r="L107" s="13"/>
      <c r="M107" s="13"/>
      <c r="N107" s="13"/>
      <c r="O107" s="13"/>
      <c r="P107" s="13">
        <f t="shared" si="5"/>
        <v>248424.509938</v>
      </c>
    </row>
    <row r="108" spans="1:16" ht="16.5" customHeight="1">
      <c r="A108" s="14"/>
      <c r="B108" s="15" t="s">
        <v>122</v>
      </c>
      <c r="C108" s="16" t="s">
        <v>59</v>
      </c>
      <c r="D108" s="89">
        <v>150000</v>
      </c>
      <c r="E108" s="89">
        <v>150000</v>
      </c>
      <c r="F108" s="89">
        <v>90000</v>
      </c>
      <c r="G108" s="89">
        <v>70000</v>
      </c>
      <c r="H108" s="89">
        <v>70000</v>
      </c>
      <c r="I108" s="89">
        <v>70000</v>
      </c>
      <c r="J108" s="89">
        <v>70000</v>
      </c>
      <c r="K108" s="89">
        <v>70000</v>
      </c>
      <c r="L108" s="89">
        <v>70000</v>
      </c>
      <c r="M108" s="89">
        <v>70000</v>
      </c>
      <c r="N108" s="89">
        <v>70000</v>
      </c>
      <c r="O108" s="89">
        <v>70000</v>
      </c>
      <c r="P108" s="90">
        <f t="shared" si="5"/>
        <v>1020000</v>
      </c>
    </row>
    <row r="109" spans="1:16" ht="16.5" customHeight="1">
      <c r="A109" s="18"/>
      <c r="B109" s="12" t="s">
        <v>123</v>
      </c>
      <c r="C109" s="12" t="s">
        <v>58</v>
      </c>
      <c r="D109" s="13">
        <v>236708.1</v>
      </c>
      <c r="E109" s="13">
        <v>175526.1</v>
      </c>
      <c r="F109" s="13">
        <v>249908.77</v>
      </c>
      <c r="G109" s="13"/>
      <c r="H109" s="13"/>
      <c r="I109" s="13"/>
      <c r="J109" s="13"/>
      <c r="K109" s="13"/>
      <c r="L109" s="13"/>
      <c r="M109" s="13"/>
      <c r="N109" s="13"/>
      <c r="O109" s="13"/>
      <c r="P109" s="13">
        <f t="shared" si="5"/>
        <v>662142.97</v>
      </c>
    </row>
    <row r="110" spans="1:16" ht="16.5" customHeight="1">
      <c r="A110" s="14"/>
      <c r="B110" s="15" t="s">
        <v>123</v>
      </c>
      <c r="C110" s="16" t="s">
        <v>59</v>
      </c>
      <c r="D110" s="89">
        <v>236708</v>
      </c>
      <c r="E110" s="89">
        <v>175526</v>
      </c>
      <c r="F110" s="89">
        <v>197086</v>
      </c>
      <c r="G110" s="89">
        <v>202500</v>
      </c>
      <c r="H110" s="89">
        <v>202500</v>
      </c>
      <c r="I110" s="89">
        <v>202500</v>
      </c>
      <c r="J110" s="89">
        <v>202500</v>
      </c>
      <c r="K110" s="89">
        <v>202500</v>
      </c>
      <c r="L110" s="89">
        <v>447500</v>
      </c>
      <c r="M110" s="89">
        <v>522500</v>
      </c>
      <c r="N110" s="89">
        <v>557500</v>
      </c>
      <c r="O110" s="89">
        <v>562500</v>
      </c>
      <c r="P110" s="90">
        <f t="shared" si="5"/>
        <v>3711820</v>
      </c>
    </row>
    <row r="111" spans="1:16" ht="16.5" customHeight="1">
      <c r="A111" s="18"/>
      <c r="B111" s="12" t="s">
        <v>124</v>
      </c>
      <c r="C111" s="12" t="s">
        <v>58</v>
      </c>
      <c r="D111" s="13">
        <v>1395039.7868599999</v>
      </c>
      <c r="E111" s="13">
        <v>1172189.0594929999</v>
      </c>
      <c r="F111" s="13">
        <v>1502403.724771</v>
      </c>
      <c r="G111" s="13"/>
      <c r="H111" s="13"/>
      <c r="I111" s="13"/>
      <c r="J111" s="13"/>
      <c r="K111" s="13"/>
      <c r="L111" s="13"/>
      <c r="M111" s="13"/>
      <c r="N111" s="13"/>
      <c r="O111" s="13"/>
      <c r="P111" s="13">
        <f t="shared" si="5"/>
        <v>4069632.571124</v>
      </c>
    </row>
    <row r="112" spans="1:16" ht="16.5" customHeight="1">
      <c r="A112" s="14"/>
      <c r="B112" s="15" t="s">
        <v>124</v>
      </c>
      <c r="C112" s="16" t="s">
        <v>59</v>
      </c>
      <c r="D112" s="89">
        <v>1287156</v>
      </c>
      <c r="E112" s="89">
        <v>1423321</v>
      </c>
      <c r="F112" s="89">
        <v>1499107</v>
      </c>
      <c r="G112" s="89">
        <v>1555531</v>
      </c>
      <c r="H112" s="89">
        <v>1588108</v>
      </c>
      <c r="I112" s="89">
        <v>1588108</v>
      </c>
      <c r="J112" s="89">
        <v>1591365</v>
      </c>
      <c r="K112" s="89">
        <v>1591365</v>
      </c>
      <c r="L112" s="89">
        <v>1591365</v>
      </c>
      <c r="M112" s="89">
        <v>1601189</v>
      </c>
      <c r="N112" s="89">
        <v>1601189</v>
      </c>
      <c r="O112" s="89">
        <v>1734779</v>
      </c>
      <c r="P112" s="90">
        <f t="shared" si="5"/>
        <v>18652583</v>
      </c>
    </row>
    <row r="115" spans="4:6">
      <c r="D115" s="32"/>
      <c r="E115" s="32"/>
      <c r="F115" s="32"/>
    </row>
    <row r="151" spans="1:16">
      <c r="A151" s="57" t="s">
        <v>125</v>
      </c>
      <c r="B151" s="58"/>
      <c r="C151" s="59"/>
      <c r="D151" s="59"/>
      <c r="E151" s="59"/>
      <c r="F151" s="59"/>
      <c r="G151" s="59"/>
      <c r="H151" s="59"/>
      <c r="I151" s="60" t="s">
        <v>126</v>
      </c>
      <c r="J151" s="59"/>
      <c r="K151" s="59"/>
      <c r="L151" s="59"/>
      <c r="M151" s="59"/>
      <c r="N151" s="59"/>
      <c r="O151" s="59"/>
      <c r="P151" s="59"/>
    </row>
    <row r="152" spans="1:16">
      <c r="A152" s="61"/>
      <c r="B152" s="58"/>
      <c r="C152" s="59"/>
      <c r="D152" s="59"/>
      <c r="E152" s="59"/>
      <c r="F152" s="59"/>
      <c r="G152" s="59"/>
      <c r="H152" s="62"/>
      <c r="I152" s="63">
        <f>59857-9790</f>
        <v>50067</v>
      </c>
      <c r="J152" s="59" t="s">
        <v>127</v>
      </c>
      <c r="K152" s="59"/>
      <c r="L152" s="59"/>
      <c r="M152" s="59"/>
      <c r="N152" s="59"/>
      <c r="O152" s="59"/>
      <c r="P152" s="59"/>
    </row>
    <row r="153" spans="1:16">
      <c r="A153" s="61"/>
      <c r="B153" s="130" t="s">
        <v>128</v>
      </c>
      <c r="C153" s="64"/>
      <c r="D153" s="65" t="s">
        <v>129</v>
      </c>
      <c r="E153" s="66"/>
      <c r="F153" s="66">
        <f>I152/I155</f>
        <v>0.39760327821985036</v>
      </c>
      <c r="G153" s="59"/>
      <c r="H153" s="67"/>
      <c r="I153" s="68">
        <f>13785-535</f>
        <v>13250</v>
      </c>
      <c r="J153" s="59" t="s">
        <v>130</v>
      </c>
      <c r="K153" s="59"/>
      <c r="L153" s="59"/>
      <c r="M153" s="59"/>
      <c r="N153" s="59"/>
      <c r="O153" s="59"/>
      <c r="P153" s="59"/>
    </row>
    <row r="154" spans="1:16">
      <c r="A154" s="61"/>
      <c r="B154" s="69"/>
      <c r="C154" s="64"/>
      <c r="D154" s="64" t="s">
        <v>131</v>
      </c>
      <c r="E154" s="66"/>
      <c r="F154" s="66">
        <f>I153/I155</f>
        <v>0.1052238687441432</v>
      </c>
      <c r="G154" s="59"/>
      <c r="H154" s="67"/>
      <c r="I154" s="68">
        <f>63755-1150</f>
        <v>62605</v>
      </c>
      <c r="J154" s="59" t="s">
        <v>132</v>
      </c>
      <c r="K154" s="59"/>
      <c r="L154" s="59"/>
      <c r="M154" s="59"/>
      <c r="N154" s="59"/>
      <c r="O154" s="59"/>
      <c r="P154" s="59"/>
    </row>
    <row r="155" spans="1:16">
      <c r="A155" s="61"/>
      <c r="B155" s="69"/>
      <c r="C155" s="64"/>
      <c r="D155" s="64" t="s">
        <v>133</v>
      </c>
      <c r="E155" s="66"/>
      <c r="F155" s="66">
        <f>I154/I155</f>
        <v>0.49717285303600639</v>
      </c>
      <c r="G155" s="59"/>
      <c r="H155" s="67"/>
      <c r="I155" s="68">
        <f>SUM(I152:I154)</f>
        <v>125922</v>
      </c>
      <c r="J155" s="59"/>
      <c r="K155" s="59"/>
      <c r="L155" s="59"/>
      <c r="M155" s="59"/>
      <c r="N155" s="59"/>
      <c r="O155" s="59"/>
      <c r="P155" s="59"/>
    </row>
    <row r="156" spans="1:16">
      <c r="A156" s="61"/>
      <c r="B156" s="69"/>
      <c r="C156" s="64"/>
      <c r="D156" s="64"/>
      <c r="E156" s="66"/>
      <c r="F156" s="66">
        <f>SUM(F153:F155)</f>
        <v>1</v>
      </c>
      <c r="G156" s="59"/>
      <c r="H156" s="59"/>
      <c r="I156" s="70"/>
      <c r="J156" s="59"/>
      <c r="K156" s="59"/>
      <c r="L156" s="59"/>
      <c r="M156" s="59"/>
      <c r="N156" s="59"/>
      <c r="O156" s="59"/>
      <c r="P156" s="59"/>
    </row>
    <row r="157" spans="1:16">
      <c r="A157" s="61"/>
      <c r="B157" s="71" t="s">
        <v>134</v>
      </c>
      <c r="C157" s="64"/>
      <c r="D157" s="64" t="s">
        <v>135</v>
      </c>
      <c r="E157" s="66"/>
      <c r="F157" s="66">
        <f>(F153*1/2)+(F154*1/6/2)+(F155*1/12/2)</f>
        <v>0.22828583038177072</v>
      </c>
      <c r="G157" s="59"/>
      <c r="H157" s="59"/>
      <c r="I157" s="70"/>
      <c r="J157" s="59"/>
      <c r="K157" s="59"/>
      <c r="L157" s="59"/>
      <c r="M157" s="59"/>
      <c r="N157" s="59"/>
      <c r="O157" s="59"/>
      <c r="P157" s="59"/>
    </row>
    <row r="158" spans="1:16">
      <c r="A158" s="61"/>
      <c r="B158" s="58"/>
      <c r="C158" s="59"/>
      <c r="D158" s="59"/>
      <c r="E158" s="59"/>
      <c r="F158" s="59"/>
      <c r="G158" s="59"/>
      <c r="H158" s="59"/>
      <c r="I158" s="72"/>
      <c r="J158" s="73" t="s">
        <v>136</v>
      </c>
      <c r="K158" s="59"/>
      <c r="L158" s="59"/>
      <c r="M158" s="59"/>
      <c r="N158" s="59"/>
      <c r="O158" s="59"/>
      <c r="P158" s="59"/>
    </row>
    <row r="159" spans="1:16">
      <c r="B159" s="74" t="s">
        <v>137</v>
      </c>
      <c r="C159" s="59"/>
      <c r="D159" s="59"/>
      <c r="E159" s="74" t="s">
        <v>138</v>
      </c>
      <c r="F159" s="59"/>
      <c r="G159" s="59"/>
      <c r="H159" s="59"/>
      <c r="I159" s="70"/>
      <c r="J159" s="75">
        <f>199153+129941</f>
        <v>329094</v>
      </c>
      <c r="K159" s="59" t="s">
        <v>135</v>
      </c>
      <c r="L159" s="60"/>
      <c r="M159" s="59"/>
      <c r="N159" s="59"/>
      <c r="O159" s="59"/>
      <c r="P159" s="59"/>
    </row>
    <row r="160" spans="1:16" ht="15.75" customHeight="1">
      <c r="A160" s="61"/>
      <c r="B160" s="58"/>
      <c r="C160" s="59"/>
      <c r="D160" s="59"/>
      <c r="E160" s="176" t="s">
        <v>139</v>
      </c>
      <c r="F160" s="59"/>
      <c r="G160" s="59"/>
      <c r="H160" s="59"/>
      <c r="I160" s="70"/>
      <c r="J160" s="76">
        <f>I155+134025*1.08</f>
        <v>270669</v>
      </c>
      <c r="K160" s="177" t="s">
        <v>140</v>
      </c>
      <c r="L160" s="60"/>
      <c r="M160" s="59"/>
      <c r="N160" s="59"/>
      <c r="O160" s="59"/>
      <c r="P160" s="59"/>
    </row>
    <row r="161" spans="1:16">
      <c r="A161" s="61"/>
      <c r="B161" s="58"/>
      <c r="C161" s="59"/>
      <c r="D161" s="59"/>
      <c r="E161" s="60" t="s">
        <v>141</v>
      </c>
      <c r="F161" s="59"/>
      <c r="G161" s="59"/>
      <c r="H161" s="59"/>
      <c r="I161" s="70"/>
      <c r="J161" s="76">
        <f>J160*F157</f>
        <v>61789.897423603499</v>
      </c>
      <c r="K161" s="59"/>
      <c r="L161" s="60"/>
      <c r="M161" s="59"/>
      <c r="N161" s="59"/>
      <c r="O161" s="59"/>
      <c r="P161" s="59"/>
    </row>
    <row r="162" spans="1:16">
      <c r="A162" s="61"/>
      <c r="B162" s="58"/>
      <c r="C162" s="59"/>
      <c r="D162" s="59"/>
      <c r="E162" s="60" t="s">
        <v>142</v>
      </c>
      <c r="F162" s="59"/>
      <c r="G162" s="59"/>
      <c r="H162" s="59"/>
      <c r="I162" s="70"/>
      <c r="J162" s="76">
        <f>(J159+J161)*0.01</f>
        <v>3908.838974236035</v>
      </c>
      <c r="K162" s="59"/>
      <c r="L162" s="59"/>
      <c r="M162" s="59"/>
      <c r="N162" s="59"/>
      <c r="O162" s="59"/>
      <c r="P162" s="59"/>
    </row>
    <row r="163" spans="1:16">
      <c r="B163" s="58"/>
      <c r="C163" s="59"/>
      <c r="D163" s="59"/>
      <c r="E163" s="60" t="s">
        <v>143</v>
      </c>
      <c r="F163" s="59"/>
      <c r="G163" s="59"/>
      <c r="H163" s="59"/>
      <c r="I163" s="70"/>
      <c r="J163" s="77">
        <f>J159+J161-J162</f>
        <v>386975.05844936747</v>
      </c>
      <c r="K163" s="78"/>
      <c r="L163" s="59" t="s">
        <v>135</v>
      </c>
      <c r="M163" s="59"/>
      <c r="N163" s="59"/>
      <c r="O163" s="59"/>
      <c r="P163" s="59"/>
    </row>
    <row r="164" spans="1:16">
      <c r="B164" s="58"/>
      <c r="C164" s="59"/>
      <c r="D164" s="59"/>
      <c r="E164" s="60"/>
      <c r="F164" s="59"/>
      <c r="G164" s="59"/>
      <c r="H164" s="59"/>
      <c r="I164" s="70"/>
      <c r="J164" s="59"/>
      <c r="K164" s="78"/>
      <c r="L164" s="59"/>
      <c r="M164" s="59"/>
      <c r="N164" s="59"/>
      <c r="O164" s="59"/>
      <c r="P164" s="59"/>
    </row>
    <row r="165" spans="1:16">
      <c r="A165" s="61"/>
      <c r="B165" s="58"/>
      <c r="C165" s="59"/>
      <c r="D165" s="59"/>
      <c r="E165" s="59"/>
      <c r="F165" s="59"/>
      <c r="G165" s="59"/>
      <c r="H165" s="59"/>
      <c r="I165" s="79"/>
      <c r="J165" s="59"/>
      <c r="K165" s="59"/>
      <c r="L165" s="59"/>
      <c r="M165" s="59"/>
      <c r="N165" s="59"/>
      <c r="O165" s="59"/>
      <c r="P165" s="59"/>
    </row>
    <row r="166" spans="1:16">
      <c r="A166" s="57" t="s">
        <v>144</v>
      </c>
      <c r="B166" s="58"/>
      <c r="C166" s="59"/>
      <c r="D166" s="59"/>
      <c r="E166" s="59"/>
      <c r="F166" s="59"/>
      <c r="G166" s="59"/>
      <c r="H166" s="59"/>
      <c r="I166" s="80" t="s">
        <v>126</v>
      </c>
      <c r="J166" s="59"/>
      <c r="K166" s="59"/>
      <c r="L166" s="59"/>
      <c r="M166" s="59"/>
      <c r="N166" s="59"/>
      <c r="O166" s="59"/>
      <c r="P166" s="59"/>
    </row>
    <row r="167" spans="1:16">
      <c r="A167" s="61"/>
      <c r="B167" s="58"/>
      <c r="C167" s="59"/>
      <c r="D167" s="59"/>
      <c r="E167" s="59"/>
      <c r="F167" s="59"/>
      <c r="G167" s="59"/>
      <c r="H167" s="59"/>
      <c r="I167" s="63">
        <v>9790</v>
      </c>
      <c r="J167" s="59" t="s">
        <v>127</v>
      </c>
      <c r="K167" s="59" t="s">
        <v>135</v>
      </c>
      <c r="L167" s="59"/>
      <c r="M167" s="59"/>
      <c r="N167" s="59"/>
      <c r="O167" s="59"/>
      <c r="P167" s="59"/>
    </row>
    <row r="168" spans="1:16">
      <c r="A168" s="61"/>
      <c r="B168" s="130" t="str">
        <f>B153</f>
        <v>Ballpark breakdown of April sales</v>
      </c>
      <c r="C168" s="64"/>
      <c r="D168" s="65" t="s">
        <v>129</v>
      </c>
      <c r="E168" s="66"/>
      <c r="F168" s="66">
        <f>I167/I170</f>
        <v>0.85315904139433552</v>
      </c>
      <c r="G168" s="59"/>
      <c r="H168" s="67"/>
      <c r="I168" s="68">
        <v>535</v>
      </c>
      <c r="J168" s="59" t="s">
        <v>130</v>
      </c>
      <c r="K168" s="59"/>
      <c r="L168" s="59"/>
      <c r="M168" s="59"/>
      <c r="N168" s="59"/>
      <c r="O168" s="59"/>
      <c r="P168" s="59"/>
    </row>
    <row r="169" spans="1:16">
      <c r="A169" s="61"/>
      <c r="B169" s="69"/>
      <c r="C169" s="64"/>
      <c r="D169" s="64" t="s">
        <v>131</v>
      </c>
      <c r="E169" s="66"/>
      <c r="F169" s="66">
        <f>I168/I170</f>
        <v>4.6623093681917215E-2</v>
      </c>
      <c r="G169" s="59"/>
      <c r="H169" s="67"/>
      <c r="I169" s="68">
        <v>1150</v>
      </c>
      <c r="J169" s="59" t="s">
        <v>132</v>
      </c>
      <c r="K169" s="59"/>
      <c r="L169" s="59"/>
      <c r="M169" s="59"/>
      <c r="N169" s="59"/>
      <c r="O169" s="59"/>
      <c r="P169" s="59"/>
    </row>
    <row r="170" spans="1:16">
      <c r="A170" s="61"/>
      <c r="B170" s="69"/>
      <c r="C170" s="64"/>
      <c r="D170" s="64" t="s">
        <v>133</v>
      </c>
      <c r="E170" s="66"/>
      <c r="F170" s="66">
        <f>I169/I170</f>
        <v>0.10021786492374728</v>
      </c>
      <c r="G170" s="59"/>
      <c r="H170" s="67"/>
      <c r="I170" s="68">
        <f>SUM(I167:I169)</f>
        <v>11475</v>
      </c>
      <c r="J170" s="59"/>
      <c r="K170" s="59"/>
      <c r="L170" s="59"/>
      <c r="M170" s="59"/>
      <c r="N170" s="59"/>
      <c r="O170" s="59"/>
      <c r="P170" s="59"/>
    </row>
    <row r="171" spans="1:16">
      <c r="A171" s="61"/>
      <c r="B171" s="69"/>
      <c r="C171" s="64"/>
      <c r="D171" s="64"/>
      <c r="E171" s="66"/>
      <c r="F171" s="66">
        <f>SUM(F168:F170)</f>
        <v>1</v>
      </c>
      <c r="G171" s="59"/>
      <c r="H171" s="59"/>
      <c r="I171" s="59"/>
      <c r="J171" s="59"/>
      <c r="K171" s="59"/>
      <c r="L171" s="59"/>
      <c r="M171" s="59"/>
      <c r="N171" s="59"/>
      <c r="O171" s="59"/>
      <c r="P171" s="59"/>
    </row>
    <row r="172" spans="1:16">
      <c r="A172" s="61"/>
      <c r="B172" s="71" t="s">
        <v>134</v>
      </c>
      <c r="C172" s="64"/>
      <c r="D172" s="64" t="s">
        <v>135</v>
      </c>
      <c r="E172" s="66"/>
      <c r="F172" s="66">
        <f>(F168*1/2)+(F169*1/6/2)+(F170*1/12/2)</f>
        <v>0.43464052287581695</v>
      </c>
      <c r="G172" s="59"/>
      <c r="H172" s="59"/>
      <c r="I172" s="59"/>
      <c r="J172" s="59"/>
      <c r="K172" s="59"/>
      <c r="L172" s="59"/>
      <c r="M172" s="59"/>
      <c r="N172" s="59"/>
      <c r="O172" s="59"/>
      <c r="P172" s="59"/>
    </row>
    <row r="173" spans="1:16">
      <c r="A173" s="61"/>
      <c r="B173" s="58"/>
      <c r="C173" s="59"/>
      <c r="D173" s="59"/>
      <c r="E173" s="60"/>
      <c r="F173" s="59"/>
      <c r="G173" s="59"/>
      <c r="H173" s="78"/>
      <c r="I173" s="61"/>
      <c r="J173" s="61"/>
      <c r="K173" s="59"/>
      <c r="L173" s="59"/>
      <c r="M173" s="59"/>
      <c r="N173" s="59"/>
      <c r="O173" s="59"/>
      <c r="P173" s="59"/>
    </row>
    <row r="174" spans="1:16">
      <c r="A174" s="61"/>
      <c r="B174" s="58"/>
      <c r="C174" s="59"/>
      <c r="D174" s="59"/>
      <c r="E174" s="60"/>
      <c r="F174" s="60"/>
      <c r="G174" s="60"/>
      <c r="H174" s="59"/>
      <c r="I174" s="61"/>
      <c r="J174" s="61"/>
      <c r="K174" s="59"/>
      <c r="L174" s="59"/>
      <c r="M174" s="59"/>
      <c r="N174" s="59"/>
      <c r="O174" s="59"/>
      <c r="P174" s="59"/>
    </row>
    <row r="175" spans="1:16">
      <c r="A175" s="61"/>
      <c r="B175" s="58"/>
      <c r="C175" s="59"/>
      <c r="D175" s="59"/>
      <c r="E175" s="59"/>
      <c r="F175" s="59"/>
      <c r="G175" s="59"/>
      <c r="H175" s="59"/>
      <c r="I175" s="78"/>
      <c r="J175" s="73" t="str">
        <f>J158</f>
        <v>Apr2026</v>
      </c>
      <c r="K175" s="59"/>
      <c r="L175" s="59"/>
      <c r="M175" s="59"/>
      <c r="N175" s="59"/>
      <c r="O175" s="59"/>
      <c r="P175" s="59"/>
    </row>
    <row r="176" spans="1:16">
      <c r="A176" s="61"/>
      <c r="B176" s="58"/>
      <c r="C176" s="59"/>
      <c r="D176" s="59"/>
      <c r="E176" s="74" t="s">
        <v>138</v>
      </c>
      <c r="F176" s="59"/>
      <c r="G176" s="59"/>
      <c r="H176" s="59"/>
      <c r="I176" s="59"/>
      <c r="J176" s="175">
        <f>23256+2159</f>
        <v>25415</v>
      </c>
      <c r="K176" s="59"/>
      <c r="L176" s="59" t="s">
        <v>135</v>
      </c>
      <c r="M176" s="59"/>
      <c r="N176" s="59"/>
      <c r="O176" s="59"/>
      <c r="P176" s="59"/>
    </row>
    <row r="177" spans="1:16">
      <c r="A177" s="61"/>
      <c r="B177" s="58"/>
      <c r="C177" s="59"/>
      <c r="D177" s="59"/>
      <c r="E177" s="60" t="str">
        <f>E160</f>
        <v>Apr26 sales on cash basis (first 15 days) + estimate last 15 days</v>
      </c>
      <c r="F177" s="59"/>
      <c r="G177" s="59"/>
      <c r="H177" s="59"/>
      <c r="I177" s="70"/>
      <c r="J177" s="76">
        <f>I170+10970*1.08</f>
        <v>23322.6</v>
      </c>
      <c r="K177" s="60" t="str">
        <f>K160</f>
        <v>assumes 8 percent growth for last 15 days of April</v>
      </c>
      <c r="L177" s="60"/>
      <c r="M177" s="59"/>
      <c r="N177" s="59"/>
      <c r="O177" s="59"/>
      <c r="P177" s="59"/>
    </row>
    <row r="178" spans="1:16">
      <c r="A178" s="61"/>
      <c r="B178" s="58"/>
      <c r="C178" s="59"/>
      <c r="D178" s="59"/>
      <c r="E178" s="60" t="str">
        <f>E161</f>
        <v>Accrual of Apr26 sales in row above landing in Apr26</v>
      </c>
      <c r="F178" s="59"/>
      <c r="G178" s="59"/>
      <c r="H178" s="59"/>
      <c r="I178" s="70"/>
      <c r="J178" s="76">
        <f>J177*F172</f>
        <v>10136.947058823527</v>
      </c>
      <c r="K178" s="59"/>
      <c r="L178" s="59"/>
      <c r="M178" s="59"/>
      <c r="N178" s="59"/>
      <c r="O178" s="59"/>
      <c r="P178" s="59"/>
    </row>
    <row r="179" spans="1:16">
      <c r="A179" s="61"/>
      <c r="B179" s="58"/>
      <c r="C179" s="59"/>
      <c r="D179" s="59"/>
      <c r="E179" s="60" t="s">
        <v>142</v>
      </c>
      <c r="F179" s="59"/>
      <c r="G179" s="59"/>
      <c r="H179" s="59"/>
      <c r="I179" s="70"/>
      <c r="J179" s="76">
        <f>(J176+J178)*0.01</f>
        <v>355.51947058823527</v>
      </c>
      <c r="K179" s="59"/>
      <c r="L179" s="59"/>
      <c r="M179" s="59"/>
      <c r="N179" s="59"/>
      <c r="O179" s="78"/>
      <c r="P179" s="59"/>
    </row>
    <row r="180" spans="1:16">
      <c r="A180" s="61" t="s">
        <v>135</v>
      </c>
      <c r="B180" s="58"/>
      <c r="C180" s="59"/>
      <c r="D180" s="59"/>
      <c r="E180" s="60" t="s">
        <v>145</v>
      </c>
      <c r="F180" s="59"/>
      <c r="G180" s="59"/>
      <c r="H180" s="59"/>
      <c r="I180" s="70"/>
      <c r="J180" s="77">
        <f>J176+J178-J179</f>
        <v>35196.427588235289</v>
      </c>
      <c r="K180" s="59"/>
      <c r="L180" s="59"/>
      <c r="M180" s="59"/>
      <c r="N180" s="59"/>
      <c r="O180" s="59"/>
      <c r="P180" s="59"/>
    </row>
    <row r="181" spans="1:16">
      <c r="A181" s="61"/>
      <c r="B181" s="58"/>
      <c r="C181" s="59"/>
      <c r="D181" s="59"/>
      <c r="E181" s="59"/>
      <c r="F181" s="59"/>
      <c r="G181" s="59"/>
      <c r="H181" s="59"/>
      <c r="I181" s="59"/>
      <c r="J181" s="59"/>
      <c r="K181" s="59"/>
      <c r="L181" s="59"/>
      <c r="M181" s="59"/>
      <c r="N181" s="59"/>
      <c r="O181" s="59"/>
      <c r="P181" s="59"/>
    </row>
    <row r="182" spans="1:16">
      <c r="J182" s="81">
        <f>J180+J163</f>
        <v>422171.48603760276</v>
      </c>
      <c r="K182" s="131">
        <f>J182+70000</f>
        <v>492171.48603760276</v>
      </c>
    </row>
  </sheetData>
  <autoFilter ref="A3:Q112" xr:uid="{00000000-0001-0000-0100-000000000000}"/>
  <mergeCells count="2">
    <mergeCell ref="A1:P1"/>
    <mergeCell ref="A2:P2"/>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15532-1BF6-433B-9FEB-2B8CEC45AD98}">
  <sheetPr>
    <tabColor rgb="FFFFC000"/>
  </sheetPr>
  <dimension ref="A1"/>
  <sheetViews>
    <sheetView workbookViewId="0"/>
    <sheetView zoomScaleNormal="100" zoomScaleSheetLayoutView="100" workbookViewId="1">
      <selection activeCell="G21" sqref="G21"/>
    </sheetView>
  </sheetViews>
  <sheetFormatPr defaultColWidth="8.85546875"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O136"/>
  <sheetViews>
    <sheetView showGridLines="0" zoomScale="85" zoomScaleNormal="85" workbookViewId="0">
      <selection activeCell="J23" sqref="J23"/>
    </sheetView>
    <sheetView workbookViewId="1">
      <selection activeCell="N11" sqref="N11:N15"/>
    </sheetView>
  </sheetViews>
  <sheetFormatPr defaultColWidth="8.7109375" defaultRowHeight="15" customHeight="1"/>
  <cols>
    <col min="1" max="1" width="26" customWidth="1"/>
    <col min="2" max="2" width="14.85546875" customWidth="1"/>
    <col min="3" max="3" width="18" customWidth="1"/>
    <col min="4" max="4" width="14.140625" customWidth="1"/>
    <col min="5" max="5" width="15.42578125" customWidth="1"/>
    <col min="6" max="6" width="15" customWidth="1"/>
    <col min="7" max="7" width="14.42578125" customWidth="1"/>
    <col min="8" max="8" width="14" customWidth="1"/>
    <col min="9" max="9" width="15.7109375" customWidth="1"/>
    <col min="10" max="10" width="15.28515625" customWidth="1"/>
    <col min="11" max="11" width="15" customWidth="1"/>
    <col min="12" max="12" width="11.85546875" customWidth="1"/>
    <col min="13" max="13" width="18.7109375" customWidth="1"/>
    <col min="14" max="14" width="54.42578125" customWidth="1"/>
    <col min="15" max="15" width="44" customWidth="1"/>
  </cols>
  <sheetData>
    <row r="1" spans="1:14" ht="27.95">
      <c r="A1" s="224" t="s">
        <v>146</v>
      </c>
      <c r="B1" s="224"/>
      <c r="C1" s="224"/>
      <c r="D1" s="224"/>
      <c r="E1" s="224"/>
      <c r="F1" s="224"/>
    </row>
    <row r="2" spans="1:14" ht="26.25" customHeight="1">
      <c r="A2" s="225" t="s">
        <v>147</v>
      </c>
      <c r="B2" s="225"/>
      <c r="C2" s="225"/>
      <c r="D2" s="225"/>
      <c r="E2" s="225"/>
      <c r="F2" s="225"/>
    </row>
    <row r="3" spans="1:14" ht="21.75" customHeight="1">
      <c r="A3" s="119"/>
      <c r="B3" s="119" t="s">
        <v>148</v>
      </c>
      <c r="C3" s="119" t="s">
        <v>149</v>
      </c>
      <c r="D3" s="119" t="s">
        <v>150</v>
      </c>
      <c r="E3" s="119" t="s">
        <v>151</v>
      </c>
      <c r="F3" s="120" t="s">
        <v>152</v>
      </c>
    </row>
    <row r="4" spans="1:14" ht="16.5" customHeight="1">
      <c r="A4" s="20" t="s">
        <v>153</v>
      </c>
      <c r="B4" s="21">
        <f>B82</f>
        <v>57053616.745426856</v>
      </c>
      <c r="C4" s="21">
        <f>SUM(B11:B16)</f>
        <v>68369348</v>
      </c>
      <c r="D4" s="21">
        <f>I17</f>
        <v>69382852</v>
      </c>
      <c r="E4" s="114">
        <f>Forecast!N65</f>
        <v>67162173.948391005</v>
      </c>
      <c r="F4" s="115">
        <f>(E4-B4)/B4</f>
        <v>0.17717644874414387</v>
      </c>
    </row>
    <row r="5" spans="1:14" ht="19.5" customHeight="1">
      <c r="A5" s="220" t="s">
        <v>154</v>
      </c>
      <c r="B5" s="220"/>
      <c r="C5" s="220"/>
      <c r="D5" s="220"/>
      <c r="E5" s="220"/>
      <c r="F5" s="220"/>
    </row>
    <row r="6" spans="1:14">
      <c r="A6" s="1"/>
      <c r="B6" s="1"/>
      <c r="C6" s="1"/>
      <c r="D6" s="1"/>
      <c r="E6" s="1"/>
      <c r="F6" s="1"/>
    </row>
    <row r="7" spans="1:14"/>
    <row r="8" spans="1:14" s="91" customFormat="1" ht="15.95">
      <c r="A8" s="222" t="s">
        <v>155</v>
      </c>
      <c r="B8" s="222"/>
      <c r="C8" s="222"/>
      <c r="D8" s="222"/>
      <c r="E8" s="222"/>
      <c r="F8" s="222"/>
      <c r="H8" s="223" t="s">
        <v>156</v>
      </c>
      <c r="I8" s="223"/>
      <c r="J8" s="223"/>
      <c r="K8" s="223"/>
      <c r="L8" s="223"/>
      <c r="M8" s="223"/>
      <c r="N8" s="108" t="s">
        <v>157</v>
      </c>
    </row>
    <row r="9" spans="1:14">
      <c r="A9" s="221" t="s">
        <v>158</v>
      </c>
      <c r="B9" s="221"/>
      <c r="C9" s="221"/>
      <c r="D9" s="221"/>
      <c r="E9" s="221"/>
      <c r="F9" s="221"/>
      <c r="H9" s="219" t="s">
        <v>159</v>
      </c>
      <c r="I9" s="219"/>
      <c r="J9" s="219"/>
      <c r="K9" s="219"/>
      <c r="L9" s="219"/>
      <c r="M9" s="219"/>
      <c r="N9" s="91"/>
    </row>
    <row r="10" spans="1:14">
      <c r="A10" s="118" t="s">
        <v>39</v>
      </c>
      <c r="B10" s="118" t="s">
        <v>149</v>
      </c>
      <c r="C10" s="118" t="s">
        <v>160</v>
      </c>
      <c r="D10" s="118" t="s">
        <v>161</v>
      </c>
      <c r="E10" s="118" t="s">
        <v>162</v>
      </c>
      <c r="F10" s="118" t="s">
        <v>163</v>
      </c>
      <c r="H10" s="19" t="s">
        <v>39</v>
      </c>
      <c r="I10" s="19" t="s">
        <v>150</v>
      </c>
      <c r="J10" s="19" t="s">
        <v>160</v>
      </c>
      <c r="K10" s="19" t="s">
        <v>161</v>
      </c>
      <c r="L10" s="19" t="s">
        <v>162</v>
      </c>
      <c r="M10" s="19" t="s">
        <v>163</v>
      </c>
    </row>
    <row r="11" spans="1:14">
      <c r="A11" s="20" t="s">
        <v>56</v>
      </c>
      <c r="B11" s="125">
        <v>14045617</v>
      </c>
      <c r="C11" s="124">
        <f t="shared" ref="C11:C16" si="0">J11</f>
        <v>17380964.486625001</v>
      </c>
      <c r="D11" s="23">
        <f t="shared" ref="D11:D17" si="1">IFERROR(C11-B11,0)</f>
        <v>3335347.4866250008</v>
      </c>
      <c r="E11" s="24">
        <f t="shared" ref="E11:E16" si="2">IFERROR((C11-B11)/ABS(B11),0)</f>
        <v>0.23746535923804563</v>
      </c>
      <c r="F11" s="112" t="str">
        <f t="shared" ref="F11:F17" si="3">IF(E11&gt;=0,"🟢  On Track",IF(E11&gt;=-0.1,"🟡  Watch","🔴  At Risk"))</f>
        <v>🟢  On Track</v>
      </c>
      <c r="H11" s="20" t="s">
        <v>56</v>
      </c>
      <c r="I11" s="125">
        <v>14850000</v>
      </c>
      <c r="J11" s="124">
        <f>Forecast!N8</f>
        <v>17380964.486625001</v>
      </c>
      <c r="K11" s="23">
        <f t="shared" ref="K11:K17" si="4">IFERROR(J11-I11,0)</f>
        <v>2530964.4866250008</v>
      </c>
      <c r="L11" s="24">
        <f t="shared" ref="L11:L17" si="5">IFERROR((J11-I11)/ABS(I11),0)</f>
        <v>0.17043531896464653</v>
      </c>
      <c r="M11" s="112" t="str">
        <f t="shared" ref="M11:M17" si="6">IF(L11&gt;=0,"🟢  On Track",IF(L11&gt;=-0.1,"🟡  Watch","🔴  At Risk"))</f>
        <v>🟢  On Track</v>
      </c>
      <c r="N11" s="117" t="s">
        <v>164</v>
      </c>
    </row>
    <row r="12" spans="1:14">
      <c r="A12" s="25" t="s">
        <v>165</v>
      </c>
      <c r="B12" s="126">
        <v>6233352</v>
      </c>
      <c r="C12" s="134">
        <f t="shared" si="0"/>
        <v>3742664.1522939997</v>
      </c>
      <c r="D12" s="26">
        <f t="shared" si="1"/>
        <v>-2490687.8477060003</v>
      </c>
      <c r="E12" s="27">
        <f t="shared" si="2"/>
        <v>-0.39957439395464917</v>
      </c>
      <c r="F12" s="116" t="str">
        <f t="shared" si="3"/>
        <v>🔴  At Risk</v>
      </c>
      <c r="H12" s="25" t="s">
        <v>165</v>
      </c>
      <c r="I12" s="126">
        <v>6233352</v>
      </c>
      <c r="J12" s="134">
        <f>Forecast!N25</f>
        <v>3742664.1522939997</v>
      </c>
      <c r="K12" s="26">
        <f t="shared" si="4"/>
        <v>-2490687.8477060003</v>
      </c>
      <c r="L12" s="27">
        <f t="shared" si="5"/>
        <v>-0.39957439395464917</v>
      </c>
      <c r="M12" s="116" t="str">
        <f t="shared" si="6"/>
        <v>🔴  At Risk</v>
      </c>
      <c r="N12" t="s">
        <v>166</v>
      </c>
    </row>
    <row r="13" spans="1:14">
      <c r="A13" s="20" t="s">
        <v>86</v>
      </c>
      <c r="B13" s="125">
        <v>999996</v>
      </c>
      <c r="C13" s="124">
        <f t="shared" si="0"/>
        <v>5611993.2079910003</v>
      </c>
      <c r="D13" s="23">
        <f t="shared" si="1"/>
        <v>4611997.2079910003</v>
      </c>
      <c r="E13" s="24">
        <f t="shared" si="2"/>
        <v>4.6120156560536243</v>
      </c>
      <c r="F13" s="112" t="str">
        <f t="shared" si="3"/>
        <v>🟢  On Track</v>
      </c>
      <c r="H13" s="20" t="s">
        <v>86</v>
      </c>
      <c r="I13" s="125">
        <v>1258000</v>
      </c>
      <c r="J13" s="124">
        <f>Forecast!N28</f>
        <v>5611993.2079910003</v>
      </c>
      <c r="K13" s="23">
        <f t="shared" si="4"/>
        <v>4353993.2079910003</v>
      </c>
      <c r="L13" s="24">
        <f t="shared" si="5"/>
        <v>3.4610438855254375</v>
      </c>
      <c r="M13" s="112" t="str">
        <f t="shared" si="6"/>
        <v>🟢  On Track</v>
      </c>
      <c r="N13" t="s">
        <v>167</v>
      </c>
    </row>
    <row r="14" spans="1:14">
      <c r="A14" s="25" t="s">
        <v>90</v>
      </c>
      <c r="B14" s="126">
        <v>3731000</v>
      </c>
      <c r="C14" s="134">
        <f t="shared" si="0"/>
        <v>1233562.844694</v>
      </c>
      <c r="D14" s="26">
        <f>IFERROR(C14-B14,0)</f>
        <v>-2497437.1553060003</v>
      </c>
      <c r="E14" s="27">
        <f>IFERROR((C14-B14)/ABS(B14),0)</f>
        <v>-0.66937474009809705</v>
      </c>
      <c r="F14" s="116" t="str">
        <f t="shared" si="3"/>
        <v>🔴  At Risk</v>
      </c>
      <c r="H14" s="25" t="s">
        <v>90</v>
      </c>
      <c r="I14" s="126">
        <v>3731000</v>
      </c>
      <c r="J14" s="134">
        <f>Forecast!N57</f>
        <v>1233562.844694</v>
      </c>
      <c r="K14" s="26">
        <f t="shared" si="4"/>
        <v>-2497437.1553060003</v>
      </c>
      <c r="L14" s="27">
        <f t="shared" si="5"/>
        <v>-0.66937474009809705</v>
      </c>
      <c r="M14" s="116" t="str">
        <f t="shared" si="6"/>
        <v>🔴  At Risk</v>
      </c>
      <c r="N14" t="s">
        <v>168</v>
      </c>
    </row>
    <row r="15" spans="1:14">
      <c r="A15" s="20" t="s">
        <v>169</v>
      </c>
      <c r="B15" s="125">
        <v>20765167</v>
      </c>
      <c r="C15" s="124">
        <f t="shared" si="0"/>
        <v>16915714.715663001</v>
      </c>
      <c r="D15" s="23">
        <f>IFERROR(C15-B15,0)</f>
        <v>-3849452.2843369991</v>
      </c>
      <c r="E15" s="24">
        <f>IFERROR((C15-B15)/ABS(B15),0)</f>
        <v>-0.1853802709285699</v>
      </c>
      <c r="F15" s="112" t="str">
        <f t="shared" si="3"/>
        <v>🔴  At Risk</v>
      </c>
      <c r="H15" s="20" t="s">
        <v>169</v>
      </c>
      <c r="I15" s="125">
        <v>19027500</v>
      </c>
      <c r="J15" s="124">
        <f>Forecast!N59+Forecast!N60+Forecast!N61</f>
        <v>16915714.715663001</v>
      </c>
      <c r="K15" s="23">
        <f t="shared" ref="K15" si="7">IFERROR(J15-I15,0)</f>
        <v>-2111785.2843369991</v>
      </c>
      <c r="L15" s="24">
        <f t="shared" ref="L15" si="8">IFERROR((J15-I15)/ABS(I15),0)</f>
        <v>-0.11098595634408089</v>
      </c>
      <c r="M15" s="112" t="str">
        <f t="shared" si="6"/>
        <v>🔴  At Risk</v>
      </c>
      <c r="N15" t="s">
        <v>170</v>
      </c>
    </row>
    <row r="16" spans="1:14">
      <c r="A16" s="25" t="s">
        <v>124</v>
      </c>
      <c r="B16" s="126">
        <v>22594216</v>
      </c>
      <c r="C16" s="134">
        <f t="shared" si="0"/>
        <v>22277274.541124001</v>
      </c>
      <c r="D16" s="26">
        <f t="shared" si="1"/>
        <v>-316941.45887599885</v>
      </c>
      <c r="E16" s="27">
        <f t="shared" si="2"/>
        <v>-1.4027548416638969E-2</v>
      </c>
      <c r="F16" s="116" t="str">
        <f t="shared" si="3"/>
        <v>🟡  Watch</v>
      </c>
      <c r="H16" s="25" t="s">
        <v>124</v>
      </c>
      <c r="I16" s="126">
        <v>24283000</v>
      </c>
      <c r="J16" s="134">
        <f>Forecast!N63+Forecast!N62</f>
        <v>22277274.541124001</v>
      </c>
      <c r="K16" s="26">
        <f t="shared" si="4"/>
        <v>-2005725.4588759989</v>
      </c>
      <c r="L16" s="27">
        <f t="shared" si="5"/>
        <v>-8.2597926898488605E-2</v>
      </c>
      <c r="M16" s="116" t="str">
        <f t="shared" si="6"/>
        <v>🟡  Watch</v>
      </c>
    </row>
    <row r="17" spans="1:13">
      <c r="A17" s="28" t="s">
        <v>171</v>
      </c>
      <c r="B17" s="29">
        <f>SUM(B11:B16)</f>
        <v>68369348</v>
      </c>
      <c r="C17" s="29">
        <f>SUM(C11:C16)</f>
        <v>67162173.948391005</v>
      </c>
      <c r="D17" s="29">
        <f t="shared" si="1"/>
        <v>-1207174.0516089946</v>
      </c>
      <c r="E17" s="30">
        <f>IFERROR((C17-B17)/ABS(B17),0)</f>
        <v>-1.7656655898034813E-2</v>
      </c>
      <c r="F17" s="113" t="str">
        <f t="shared" si="3"/>
        <v>🟡  Watch</v>
      </c>
      <c r="H17" s="28" t="s">
        <v>171</v>
      </c>
      <c r="I17" s="29">
        <f>SUM(I11:I16)</f>
        <v>69382852</v>
      </c>
      <c r="J17" s="29">
        <f>SUM(J11:J16)</f>
        <v>67162173.948391005</v>
      </c>
      <c r="K17" s="29">
        <f t="shared" si="4"/>
        <v>-2220678.0516089946</v>
      </c>
      <c r="L17" s="30">
        <f t="shared" si="5"/>
        <v>-3.200615119725829E-2</v>
      </c>
      <c r="M17" s="113" t="str">
        <f t="shared" si="6"/>
        <v>🟡  Watch</v>
      </c>
    </row>
    <row r="18" spans="1:13">
      <c r="A18" s="220" t="s">
        <v>172</v>
      </c>
      <c r="B18" s="220"/>
      <c r="C18" s="220"/>
      <c r="D18" s="220"/>
      <c r="E18" s="220"/>
      <c r="F18" s="220"/>
      <c r="H18" s="220" t="s">
        <v>173</v>
      </c>
      <c r="I18" s="220"/>
      <c r="J18" s="220"/>
      <c r="K18" s="220"/>
      <c r="L18" s="220"/>
      <c r="M18" s="220"/>
    </row>
    <row r="19" spans="1:13"/>
    <row r="20" spans="1:13"/>
    <row r="21" spans="1:13" ht="15.95">
      <c r="A21" s="222" t="s">
        <v>174</v>
      </c>
      <c r="B21" s="222"/>
      <c r="C21" s="222"/>
      <c r="D21" s="222"/>
      <c r="E21" s="222"/>
      <c r="F21" s="222"/>
      <c r="H21" s="223" t="s">
        <v>175</v>
      </c>
      <c r="I21" s="223"/>
      <c r="J21" s="223"/>
      <c r="K21" s="223"/>
      <c r="L21" s="223"/>
      <c r="M21" s="223"/>
    </row>
    <row r="22" spans="1:13">
      <c r="A22" s="221" t="s">
        <v>159</v>
      </c>
      <c r="B22" s="221"/>
      <c r="C22" s="221"/>
      <c r="D22" s="221"/>
      <c r="E22" s="221"/>
      <c r="F22" s="221"/>
      <c r="H22" s="219" t="s">
        <v>159</v>
      </c>
      <c r="I22" s="219"/>
      <c r="J22" s="219"/>
      <c r="K22" s="219"/>
      <c r="L22" s="219"/>
      <c r="M22" s="219"/>
    </row>
    <row r="23" spans="1:13">
      <c r="A23" s="118" t="s">
        <v>39</v>
      </c>
      <c r="B23" s="118" t="s">
        <v>149</v>
      </c>
      <c r="C23" s="118" t="s">
        <v>160</v>
      </c>
      <c r="D23" s="118" t="s">
        <v>161</v>
      </c>
      <c r="E23" s="118" t="s">
        <v>162</v>
      </c>
      <c r="F23" s="118" t="s">
        <v>163</v>
      </c>
      <c r="H23" s="19" t="s">
        <v>39</v>
      </c>
      <c r="I23" s="19" t="s">
        <v>150</v>
      </c>
      <c r="J23" s="19" t="s">
        <v>160</v>
      </c>
      <c r="K23" s="19" t="s">
        <v>161</v>
      </c>
      <c r="L23" s="19" t="s">
        <v>162</v>
      </c>
      <c r="M23" s="19" t="s">
        <v>163</v>
      </c>
    </row>
    <row r="24" spans="1:13">
      <c r="A24" s="20" t="s">
        <v>56</v>
      </c>
      <c r="B24" s="125">
        <v>2993779</v>
      </c>
      <c r="C24" s="124">
        <f>Forecast!B8+Forecast!C8+Forecast!D8</f>
        <v>3985624.4866249999</v>
      </c>
      <c r="D24" s="23">
        <f t="shared" ref="D24:D30" si="9">IFERROR(C24-B24,0)</f>
        <v>991845.4866249999</v>
      </c>
      <c r="E24" s="24">
        <f t="shared" ref="E24:E30" si="10">IFERROR((C24-B24)/ABS(B24),0)</f>
        <v>0.33130217247999932</v>
      </c>
      <c r="F24" s="112" t="str">
        <f t="shared" ref="F24:F30" si="11">IF(E24&gt;=0,"🟢  On Track",IF(E24&gt;=-0.1,"🟡  Watch","🔴  At Risk"))</f>
        <v>🟢  On Track</v>
      </c>
      <c r="H24" s="20" t="s">
        <v>56</v>
      </c>
      <c r="I24" s="125">
        <v>3165230.7</v>
      </c>
      <c r="J24" s="124">
        <f>C24</f>
        <v>3985624.4866249999</v>
      </c>
      <c r="K24" s="23">
        <f t="shared" ref="K24:K30" si="12">IFERROR(J24-I24,0)</f>
        <v>820393.78662499972</v>
      </c>
      <c r="L24" s="24">
        <f t="shared" ref="L24:L30" si="13">IFERROR((J24-I24)/ABS(I24),0)</f>
        <v>0.25918925487011096</v>
      </c>
      <c r="M24" s="112" t="str">
        <f t="shared" ref="M24:M30" si="14">IF(L24&gt;=0,"🟢  On Track",IF(L24&gt;=-0.1,"🟡  Watch","🔴  At Risk"))</f>
        <v>🟢  On Track</v>
      </c>
    </row>
    <row r="25" spans="1:13">
      <c r="A25" s="25" t="s">
        <v>165</v>
      </c>
      <c r="B25" s="126">
        <v>1330788</v>
      </c>
      <c r="C25" s="134">
        <f>Forecast!B25+Forecast!C25+Forecast!D25</f>
        <v>540375.15229399991</v>
      </c>
      <c r="D25" s="26">
        <f t="shared" si="9"/>
        <v>-790412.84770600009</v>
      </c>
      <c r="E25" s="27">
        <f t="shared" si="10"/>
        <v>-0.59394347387112001</v>
      </c>
      <c r="F25" s="116" t="str">
        <f t="shared" si="11"/>
        <v>🔴  At Risk</v>
      </c>
      <c r="H25" s="25" t="s">
        <v>165</v>
      </c>
      <c r="I25" s="126">
        <v>1330788</v>
      </c>
      <c r="J25" s="134">
        <f t="shared" ref="J25:J29" si="15">C25</f>
        <v>540375.15229399991</v>
      </c>
      <c r="K25" s="26">
        <f t="shared" si="12"/>
        <v>-790412.84770600009</v>
      </c>
      <c r="L25" s="27">
        <f t="shared" si="13"/>
        <v>-0.59394347387112001</v>
      </c>
      <c r="M25" s="116" t="str">
        <f t="shared" si="14"/>
        <v>🔴  At Risk</v>
      </c>
    </row>
    <row r="26" spans="1:13">
      <c r="A26" s="20" t="s">
        <v>86</v>
      </c>
      <c r="B26" s="125">
        <v>249999</v>
      </c>
      <c r="C26" s="124">
        <f>Forecast!B28+Forecast!C28+Forecast!D28</f>
        <v>1861993.207991</v>
      </c>
      <c r="D26" s="23">
        <f t="shared" si="9"/>
        <v>1611994.207991</v>
      </c>
      <c r="E26" s="24">
        <f t="shared" si="10"/>
        <v>6.4480026239744959</v>
      </c>
      <c r="F26" s="112" t="str">
        <f t="shared" si="11"/>
        <v>🟢  On Track</v>
      </c>
      <c r="H26" s="20" t="s">
        <v>86</v>
      </c>
      <c r="I26" s="125">
        <v>314500</v>
      </c>
      <c r="J26" s="124">
        <f t="shared" si="15"/>
        <v>1861993.207991</v>
      </c>
      <c r="K26" s="23">
        <f t="shared" si="12"/>
        <v>1547493.207991</v>
      </c>
      <c r="L26" s="24">
        <f t="shared" si="13"/>
        <v>4.9204871478251198</v>
      </c>
      <c r="M26" s="112" t="str">
        <f t="shared" si="14"/>
        <v>🟢  On Track</v>
      </c>
    </row>
    <row r="27" spans="1:13">
      <c r="A27" s="25" t="s">
        <v>90</v>
      </c>
      <c r="B27" s="126">
        <v>949500</v>
      </c>
      <c r="C27" s="134">
        <f>Forecast!B57+Forecast!C57+Forecast!D57</f>
        <v>365162.84469400003</v>
      </c>
      <c r="D27" s="26">
        <f t="shared" si="9"/>
        <v>-584337.15530600003</v>
      </c>
      <c r="E27" s="27">
        <f t="shared" si="10"/>
        <v>-0.61541564539863092</v>
      </c>
      <c r="F27" s="116" t="str">
        <f t="shared" si="11"/>
        <v>🔴  At Risk</v>
      </c>
      <c r="H27" s="25" t="s">
        <v>90</v>
      </c>
      <c r="I27" s="126">
        <v>949500</v>
      </c>
      <c r="J27" s="134">
        <f t="shared" si="15"/>
        <v>365162.84469400003</v>
      </c>
      <c r="K27" s="26">
        <f t="shared" si="12"/>
        <v>-584337.15530600003</v>
      </c>
      <c r="L27" s="27">
        <f t="shared" si="13"/>
        <v>-0.61541564539863092</v>
      </c>
      <c r="M27" s="116" t="str">
        <f t="shared" si="14"/>
        <v>🔴  At Risk</v>
      </c>
    </row>
    <row r="28" spans="1:13">
      <c r="A28" s="20" t="s">
        <v>169</v>
      </c>
      <c r="B28" s="125">
        <v>5470003</v>
      </c>
      <c r="C28" s="124">
        <f>SUM(Forecast!B59:D61)</f>
        <v>4471835.715663</v>
      </c>
      <c r="D28" s="23">
        <f t="shared" si="9"/>
        <v>-998167.28433699999</v>
      </c>
      <c r="E28" s="24">
        <f t="shared" si="10"/>
        <v>-0.18248020784211635</v>
      </c>
      <c r="F28" s="112" t="str">
        <f t="shared" si="11"/>
        <v>🔴  At Risk</v>
      </c>
      <c r="H28" s="20" t="s">
        <v>169</v>
      </c>
      <c r="I28" s="125">
        <v>5012263.18</v>
      </c>
      <c r="J28" s="124">
        <f t="shared" si="15"/>
        <v>4471835.715663</v>
      </c>
      <c r="K28" s="23">
        <f t="shared" si="12"/>
        <v>-540427.46433699969</v>
      </c>
      <c r="L28" s="24">
        <f t="shared" si="13"/>
        <v>-0.10782104708575972</v>
      </c>
      <c r="M28" s="112" t="str">
        <f t="shared" si="14"/>
        <v>🔴  At Risk</v>
      </c>
    </row>
    <row r="29" spans="1:13">
      <c r="A29" s="25" t="s">
        <v>124</v>
      </c>
      <c r="B29" s="126">
        <v>4749914</v>
      </c>
      <c r="C29" s="134">
        <f>SUM(Forecast!B62:D63)</f>
        <v>4731775.5411239993</v>
      </c>
      <c r="D29" s="26">
        <f t="shared" si="9"/>
        <v>-18138.458876000717</v>
      </c>
      <c r="E29" s="27">
        <f t="shared" si="10"/>
        <v>-3.8186920596879684E-3</v>
      </c>
      <c r="F29" s="116" t="str">
        <f t="shared" si="11"/>
        <v>🟡  Watch</v>
      </c>
      <c r="H29" s="25" t="s">
        <v>124</v>
      </c>
      <c r="I29" s="126">
        <v>5104941.9800000004</v>
      </c>
      <c r="J29" s="134">
        <f t="shared" si="15"/>
        <v>4731775.5411239993</v>
      </c>
      <c r="K29" s="26">
        <f t="shared" si="12"/>
        <v>-373166.43887600116</v>
      </c>
      <c r="L29" s="27">
        <f t="shared" si="13"/>
        <v>-7.3099055843921873E-2</v>
      </c>
      <c r="M29" s="116" t="str">
        <f t="shared" si="14"/>
        <v>🟡  Watch</v>
      </c>
    </row>
    <row r="30" spans="1:13">
      <c r="A30" s="28" t="s">
        <v>171</v>
      </c>
      <c r="B30" s="29">
        <f>SUM(B24:B29)</f>
        <v>15743983</v>
      </c>
      <c r="C30" s="29">
        <f>SUM(C24:C29)</f>
        <v>15956766.948391</v>
      </c>
      <c r="D30" s="29">
        <f t="shared" si="9"/>
        <v>212783.94839099981</v>
      </c>
      <c r="E30" s="30">
        <f t="shared" si="10"/>
        <v>1.3515255217882273E-2</v>
      </c>
      <c r="F30" s="113" t="str">
        <f t="shared" si="11"/>
        <v>🟢  On Track</v>
      </c>
      <c r="H30" s="28" t="s">
        <v>171</v>
      </c>
      <c r="I30" s="29">
        <f>SUM(I24:I29)</f>
        <v>15877223.859999999</v>
      </c>
      <c r="J30" s="29">
        <f>SUM(J24:J29)</f>
        <v>15956766.948391</v>
      </c>
      <c r="K30" s="29">
        <f t="shared" si="12"/>
        <v>79543.088391000405</v>
      </c>
      <c r="L30" s="30">
        <f t="shared" si="13"/>
        <v>5.0098864318085141E-3</v>
      </c>
      <c r="M30" s="113" t="str">
        <f t="shared" si="14"/>
        <v>🟢  On Track</v>
      </c>
    </row>
    <row r="31" spans="1:13"/>
    <row r="32" spans="1:13"/>
    <row r="33" spans="1:13" ht="15.95">
      <c r="A33" s="222" t="s">
        <v>176</v>
      </c>
      <c r="B33" s="222"/>
      <c r="C33" s="222"/>
      <c r="D33" s="222"/>
      <c r="E33" s="222"/>
      <c r="F33" s="222"/>
      <c r="H33" s="223" t="s">
        <v>177</v>
      </c>
      <c r="I33" s="223"/>
      <c r="J33" s="223"/>
      <c r="K33" s="223"/>
      <c r="L33" s="223"/>
      <c r="M33" s="223"/>
    </row>
    <row r="34" spans="1:13">
      <c r="A34" s="226" t="s">
        <v>159</v>
      </c>
      <c r="B34" s="226"/>
      <c r="C34" s="226"/>
      <c r="D34" s="226"/>
      <c r="E34" s="226"/>
      <c r="F34" s="226"/>
      <c r="H34" s="219" t="s">
        <v>159</v>
      </c>
      <c r="I34" s="219"/>
      <c r="J34" s="219"/>
      <c r="K34" s="219"/>
      <c r="L34" s="219"/>
      <c r="M34" s="219"/>
    </row>
    <row r="35" spans="1:13">
      <c r="A35" s="118" t="s">
        <v>39</v>
      </c>
      <c r="B35" s="118" t="s">
        <v>149</v>
      </c>
      <c r="C35" s="118" t="s">
        <v>160</v>
      </c>
      <c r="D35" s="118" t="s">
        <v>161</v>
      </c>
      <c r="E35" s="118" t="s">
        <v>162</v>
      </c>
      <c r="F35" s="118" t="s">
        <v>163</v>
      </c>
      <c r="H35" s="19" t="s">
        <v>39</v>
      </c>
      <c r="I35" s="19" t="s">
        <v>150</v>
      </c>
      <c r="J35" s="19" t="s">
        <v>160</v>
      </c>
      <c r="K35" s="19" t="s">
        <v>161</v>
      </c>
      <c r="L35" s="19" t="s">
        <v>162</v>
      </c>
      <c r="M35" s="19" t="s">
        <v>163</v>
      </c>
    </row>
    <row r="36" spans="1:13">
      <c r="A36" s="20" t="s">
        <v>56</v>
      </c>
      <c r="B36" s="125">
        <v>2902566</v>
      </c>
      <c r="C36" s="124">
        <f>Forecast!E8+Forecast!F8+Forecast!G8</f>
        <v>3649065</v>
      </c>
      <c r="D36" s="23">
        <f t="shared" ref="D36:D42" si="16">IFERROR(C36-B36,0)</f>
        <v>746499</v>
      </c>
      <c r="E36" s="24">
        <f t="shared" ref="E36:E42" si="17">IFERROR((C36-B36)/ABS(B36),0)</f>
        <v>0.25718588311170187</v>
      </c>
      <c r="F36" s="112" t="str">
        <f t="shared" ref="F36:F42" si="18">IF(E36&gt;=0,"🟢  On Track",IF(E36&gt;=-0.1,"🟡  Watch","🔴  At Risk"))</f>
        <v>🟢  On Track</v>
      </c>
      <c r="H36" s="20" t="s">
        <v>56</v>
      </c>
      <c r="I36" s="125">
        <v>3068793.99</v>
      </c>
      <c r="J36" s="124">
        <f>C36</f>
        <v>3649065</v>
      </c>
      <c r="K36" s="23">
        <f t="shared" ref="K36:K42" si="19">IFERROR(J36-I36,0)</f>
        <v>580271.00999999978</v>
      </c>
      <c r="L36" s="24">
        <f t="shared" ref="L36:L42" si="20">IFERROR((J36-I36)/ABS(I36),0)</f>
        <v>0.18908763895226469</v>
      </c>
      <c r="M36" s="112" t="str">
        <f t="shared" ref="M36:M42" si="21">IF(L36&gt;=0,"🟢  On Track",IF(L36&gt;=-0.1,"🟡  Watch","🔴  At Risk"))</f>
        <v>🟢  On Track</v>
      </c>
    </row>
    <row r="37" spans="1:13">
      <c r="A37" s="25" t="s">
        <v>165</v>
      </c>
      <c r="B37" s="126">
        <v>1238076</v>
      </c>
      <c r="C37" s="134">
        <f>Forecast!E25+Forecast!F25+Forecast!G25</f>
        <v>837472</v>
      </c>
      <c r="D37" s="26">
        <f t="shared" si="16"/>
        <v>-400604</v>
      </c>
      <c r="E37" s="27">
        <f t="shared" si="17"/>
        <v>-0.32356979700761507</v>
      </c>
      <c r="F37" s="116" t="str">
        <f t="shared" si="18"/>
        <v>🔴  At Risk</v>
      </c>
      <c r="H37" s="25" t="s">
        <v>165</v>
      </c>
      <c r="I37" s="126">
        <v>1238076</v>
      </c>
      <c r="J37" s="134">
        <f t="shared" ref="J37:J41" si="22">C37</f>
        <v>837472</v>
      </c>
      <c r="K37" s="26">
        <f t="shared" si="19"/>
        <v>-400604</v>
      </c>
      <c r="L37" s="27">
        <f t="shared" si="20"/>
        <v>-0.32356979700761507</v>
      </c>
      <c r="M37" s="116" t="str">
        <f t="shared" si="21"/>
        <v>🔴  At Risk</v>
      </c>
    </row>
    <row r="38" spans="1:13">
      <c r="A38" s="20" t="s">
        <v>86</v>
      </c>
      <c r="B38" s="125">
        <v>249999</v>
      </c>
      <c r="C38" s="124">
        <f>Forecast!E28+Forecast!F28+Forecast!G28</f>
        <v>950000</v>
      </c>
      <c r="D38" s="23">
        <f t="shared" si="16"/>
        <v>700001</v>
      </c>
      <c r="E38" s="24">
        <f t="shared" si="17"/>
        <v>2.8000152000608001</v>
      </c>
      <c r="F38" s="112" t="str">
        <f t="shared" si="18"/>
        <v>🟢  On Track</v>
      </c>
      <c r="H38" s="20" t="s">
        <v>86</v>
      </c>
      <c r="I38" s="125">
        <v>314500</v>
      </c>
      <c r="J38" s="124">
        <f t="shared" si="22"/>
        <v>950000</v>
      </c>
      <c r="K38" s="23">
        <f t="shared" si="19"/>
        <v>635500</v>
      </c>
      <c r="L38" s="24">
        <f t="shared" si="20"/>
        <v>2.0206677265500796</v>
      </c>
      <c r="M38" s="112" t="str">
        <f t="shared" si="21"/>
        <v>🟢  On Track</v>
      </c>
    </row>
    <row r="39" spans="1:13">
      <c r="A39" s="25" t="s">
        <v>90</v>
      </c>
      <c r="B39" s="126">
        <v>570000</v>
      </c>
      <c r="C39" s="134">
        <f>Forecast!E57+Forecast!F57+Forecast!G57</f>
        <v>170800</v>
      </c>
      <c r="D39" s="26">
        <f t="shared" si="16"/>
        <v>-399200</v>
      </c>
      <c r="E39" s="27">
        <f t="shared" si="17"/>
        <v>-0.7003508771929825</v>
      </c>
      <c r="F39" s="116" t="str">
        <f t="shared" si="18"/>
        <v>🔴  At Risk</v>
      </c>
      <c r="H39" s="25" t="s">
        <v>90</v>
      </c>
      <c r="I39" s="126">
        <v>570000</v>
      </c>
      <c r="J39" s="134">
        <f t="shared" si="22"/>
        <v>170800</v>
      </c>
      <c r="K39" s="26">
        <f t="shared" si="19"/>
        <v>-399200</v>
      </c>
      <c r="L39" s="27">
        <f t="shared" si="20"/>
        <v>-0.7003508771929825</v>
      </c>
      <c r="M39" s="116" t="str">
        <f t="shared" si="21"/>
        <v>🔴  At Risk</v>
      </c>
    </row>
    <row r="40" spans="1:13">
      <c r="A40" s="20" t="s">
        <v>169</v>
      </c>
      <c r="B40" s="125">
        <v>5058106</v>
      </c>
      <c r="C40" s="124">
        <f>SUM(Forecast!E59:G61)</f>
        <v>3884965</v>
      </c>
      <c r="D40" s="23">
        <f t="shared" si="16"/>
        <v>-1173141</v>
      </c>
      <c r="E40" s="24">
        <f t="shared" si="17"/>
        <v>-0.231932861826146</v>
      </c>
      <c r="F40" s="112" t="str">
        <f t="shared" si="18"/>
        <v>🔴  At Risk</v>
      </c>
      <c r="H40" s="20" t="s">
        <v>169</v>
      </c>
      <c r="I40" s="125">
        <v>4634834.4800000004</v>
      </c>
      <c r="J40" s="124">
        <f t="shared" si="22"/>
        <v>3884965</v>
      </c>
      <c r="K40" s="23">
        <f t="shared" si="19"/>
        <v>-749869.48000000045</v>
      </c>
      <c r="L40" s="24">
        <f t="shared" si="20"/>
        <v>-0.16178991574257909</v>
      </c>
      <c r="M40" s="112" t="str">
        <f t="shared" si="21"/>
        <v>🔴  At Risk</v>
      </c>
    </row>
    <row r="41" spans="1:13">
      <c r="A41" s="25" t="s">
        <v>124</v>
      </c>
      <c r="B41" s="126">
        <v>5304568</v>
      </c>
      <c r="C41" s="134">
        <f>SUM(Forecast!E62:G63)</f>
        <v>5339247</v>
      </c>
      <c r="D41" s="26">
        <f t="shared" si="16"/>
        <v>34679</v>
      </c>
      <c r="E41" s="27">
        <f t="shared" si="17"/>
        <v>6.5375728994330924E-3</v>
      </c>
      <c r="F41" s="116" t="str">
        <f t="shared" si="18"/>
        <v>🟢  On Track</v>
      </c>
      <c r="H41" s="25" t="s">
        <v>124</v>
      </c>
      <c r="I41" s="126">
        <v>5701053.0800000001</v>
      </c>
      <c r="J41" s="134">
        <f t="shared" si="22"/>
        <v>5339247</v>
      </c>
      <c r="K41" s="26">
        <f t="shared" si="19"/>
        <v>-361806.08000000007</v>
      </c>
      <c r="L41" s="27">
        <f t="shared" si="20"/>
        <v>-6.3463026027465105E-2</v>
      </c>
      <c r="M41" s="116" t="str">
        <f t="shared" si="21"/>
        <v>🟡  Watch</v>
      </c>
    </row>
    <row r="42" spans="1:13">
      <c r="A42" s="28" t="s">
        <v>171</v>
      </c>
      <c r="B42" s="29">
        <f>SUM(B36:B41)</f>
        <v>15323315</v>
      </c>
      <c r="C42" s="29">
        <f>SUM(C36:C41)</f>
        <v>14831549</v>
      </c>
      <c r="D42" s="29">
        <f t="shared" si="16"/>
        <v>-491766</v>
      </c>
      <c r="E42" s="30">
        <f t="shared" si="17"/>
        <v>-3.2092664022112707E-2</v>
      </c>
      <c r="F42" s="113" t="str">
        <f t="shared" si="18"/>
        <v>🟡  Watch</v>
      </c>
      <c r="H42" s="28" t="s">
        <v>171</v>
      </c>
      <c r="I42" s="29">
        <f>SUM(I36:I41)</f>
        <v>15527257.550000001</v>
      </c>
      <c r="J42" s="29">
        <f>SUM(J36:J41)</f>
        <v>14831549</v>
      </c>
      <c r="K42" s="29">
        <f t="shared" si="19"/>
        <v>-695708.55000000075</v>
      </c>
      <c r="L42" s="30">
        <f t="shared" si="20"/>
        <v>-4.4805629568500378E-2</v>
      </c>
      <c r="M42" s="113" t="str">
        <f t="shared" si="21"/>
        <v>🟡  Watch</v>
      </c>
    </row>
    <row r="43" spans="1:13"/>
    <row r="44" spans="1:13"/>
    <row r="45" spans="1:13" ht="15.95">
      <c r="A45" s="222" t="s">
        <v>178</v>
      </c>
      <c r="B45" s="222"/>
      <c r="C45" s="222"/>
      <c r="D45" s="222"/>
      <c r="E45" s="222"/>
      <c r="F45" s="222"/>
      <c r="H45" s="223" t="s">
        <v>179</v>
      </c>
      <c r="I45" s="223"/>
      <c r="J45" s="223"/>
      <c r="K45" s="223"/>
      <c r="L45" s="223"/>
      <c r="M45" s="223"/>
    </row>
    <row r="46" spans="1:13">
      <c r="A46" s="226" t="s">
        <v>159</v>
      </c>
      <c r="B46" s="226"/>
      <c r="C46" s="226"/>
      <c r="D46" s="226"/>
      <c r="E46" s="226"/>
      <c r="F46" s="226"/>
      <c r="H46" s="219" t="s">
        <v>159</v>
      </c>
      <c r="I46" s="219"/>
      <c r="J46" s="219"/>
      <c r="K46" s="219"/>
      <c r="L46" s="219"/>
      <c r="M46" s="219"/>
    </row>
    <row r="47" spans="1:13">
      <c r="A47" s="118" t="s">
        <v>39</v>
      </c>
      <c r="B47" s="118" t="s">
        <v>149</v>
      </c>
      <c r="C47" s="118" t="s">
        <v>160</v>
      </c>
      <c r="D47" s="118" t="s">
        <v>161</v>
      </c>
      <c r="E47" s="118" t="s">
        <v>162</v>
      </c>
      <c r="F47" s="118" t="s">
        <v>163</v>
      </c>
      <c r="H47" s="19" t="s">
        <v>39</v>
      </c>
      <c r="I47" s="19" t="s">
        <v>150</v>
      </c>
      <c r="J47" s="19" t="s">
        <v>160</v>
      </c>
      <c r="K47" s="19" t="s">
        <v>161</v>
      </c>
      <c r="L47" s="19" t="s">
        <v>162</v>
      </c>
      <c r="M47" s="19" t="s">
        <v>163</v>
      </c>
    </row>
    <row r="48" spans="1:13">
      <c r="A48" s="20" t="s">
        <v>56</v>
      </c>
      <c r="B48" s="125">
        <v>3827398</v>
      </c>
      <c r="C48" s="124">
        <f>Forecast!H8+Forecast!I8+Forecast!J8</f>
        <v>4763398</v>
      </c>
      <c r="D48" s="23">
        <f t="shared" ref="D48:D54" si="23">IFERROR(C48-B48,0)</f>
        <v>936000</v>
      </c>
      <c r="E48" s="24">
        <f t="shared" ref="E48:E54" si="24">IFERROR((C48-B48)/ABS(B48),0)</f>
        <v>0.24455256547659793</v>
      </c>
      <c r="F48" s="112" t="str">
        <f t="shared" ref="F48:F54" si="25">IF(E48&gt;=0,"🟢  On Track",IF(E48&gt;=-0.1,"🟡  Watch","🔴  At Risk"))</f>
        <v>🟢  On Track</v>
      </c>
      <c r="H48" s="20" t="s">
        <v>56</v>
      </c>
      <c r="I48" s="125">
        <v>4046590.5</v>
      </c>
      <c r="J48" s="124">
        <f>C48</f>
        <v>4763398</v>
      </c>
      <c r="K48" s="23">
        <f t="shared" ref="K48:K54" si="26">IFERROR(J48-I48,0)</f>
        <v>716807.5</v>
      </c>
      <c r="L48" s="24">
        <f t="shared" ref="L48:L54" si="27">IFERROR((J48-I48)/ABS(I48),0)</f>
        <v>0.17713863065709268</v>
      </c>
      <c r="M48" s="112" t="str">
        <f t="shared" ref="M48:M54" si="28">IF(L48&gt;=0,"🟢  On Track",IF(L48&gt;=-0.1,"🟡  Watch","🔴  At Risk"))</f>
        <v>🟢  On Track</v>
      </c>
    </row>
    <row r="49" spans="1:13">
      <c r="A49" s="25" t="s">
        <v>165</v>
      </c>
      <c r="B49" s="126">
        <v>1744122</v>
      </c>
      <c r="C49" s="134">
        <f>Forecast!H25+Forecast!I25+Forecast!J25</f>
        <v>1172665</v>
      </c>
      <c r="D49" s="26">
        <f t="shared" si="23"/>
        <v>-571457</v>
      </c>
      <c r="E49" s="27">
        <f t="shared" si="24"/>
        <v>-0.32764737787838238</v>
      </c>
      <c r="F49" s="116" t="str">
        <f t="shared" si="25"/>
        <v>🔴  At Risk</v>
      </c>
      <c r="H49" s="25" t="s">
        <v>165</v>
      </c>
      <c r="I49" s="126">
        <v>1744122</v>
      </c>
      <c r="J49" s="134">
        <f t="shared" ref="J49:J53" si="29">C49</f>
        <v>1172665</v>
      </c>
      <c r="K49" s="26">
        <f t="shared" si="26"/>
        <v>-571457</v>
      </c>
      <c r="L49" s="27">
        <f t="shared" si="27"/>
        <v>-0.32764737787838238</v>
      </c>
      <c r="M49" s="116" t="str">
        <f t="shared" si="28"/>
        <v>🔴  At Risk</v>
      </c>
    </row>
    <row r="50" spans="1:13">
      <c r="A50" s="20" t="s">
        <v>86</v>
      </c>
      <c r="B50" s="125">
        <v>249999</v>
      </c>
      <c r="C50" s="124">
        <f>Forecast!H28+Forecast!I28+Forecast!J28</f>
        <v>1300000</v>
      </c>
      <c r="D50" s="23">
        <f t="shared" si="23"/>
        <v>1050001</v>
      </c>
      <c r="E50" s="24">
        <f t="shared" si="24"/>
        <v>4.2000208000832</v>
      </c>
      <c r="F50" s="112" t="str">
        <f t="shared" si="25"/>
        <v>🟢  On Track</v>
      </c>
      <c r="H50" s="20" t="s">
        <v>86</v>
      </c>
      <c r="I50" s="125">
        <v>314500</v>
      </c>
      <c r="J50" s="124">
        <f t="shared" si="29"/>
        <v>1300000</v>
      </c>
      <c r="K50" s="23">
        <f t="shared" si="26"/>
        <v>985500</v>
      </c>
      <c r="L50" s="24">
        <f t="shared" si="27"/>
        <v>3.1335453100158981</v>
      </c>
      <c r="M50" s="112" t="str">
        <f t="shared" si="28"/>
        <v>🟢  On Track</v>
      </c>
    </row>
    <row r="51" spans="1:13">
      <c r="A51" s="25" t="s">
        <v>90</v>
      </c>
      <c r="B51" s="126">
        <v>930500</v>
      </c>
      <c r="C51" s="134">
        <f>Forecast!H57+Forecast!I57+Forecast!J57</f>
        <v>281800</v>
      </c>
      <c r="D51" s="26">
        <f t="shared" si="23"/>
        <v>-648700</v>
      </c>
      <c r="E51" s="27">
        <f t="shared" si="24"/>
        <v>-0.69715206878022573</v>
      </c>
      <c r="F51" s="116" t="str">
        <f t="shared" si="25"/>
        <v>🔴  At Risk</v>
      </c>
      <c r="H51" s="25" t="s">
        <v>90</v>
      </c>
      <c r="I51" s="126">
        <v>930500</v>
      </c>
      <c r="J51" s="134">
        <f t="shared" si="29"/>
        <v>281800</v>
      </c>
      <c r="K51" s="26">
        <f t="shared" si="26"/>
        <v>-648700</v>
      </c>
      <c r="L51" s="27">
        <f t="shared" si="27"/>
        <v>-0.69715206878022573</v>
      </c>
      <c r="M51" s="116" t="str">
        <f t="shared" si="28"/>
        <v>🔴  At Risk</v>
      </c>
    </row>
    <row r="52" spans="1:13">
      <c r="A52" s="20" t="s">
        <v>169</v>
      </c>
      <c r="B52" s="125">
        <v>4498125</v>
      </c>
      <c r="C52" s="124">
        <f>SUM(Forecast!H59:J61)</f>
        <v>3634552</v>
      </c>
      <c r="D52" s="23">
        <f t="shared" si="23"/>
        <v>-863573</v>
      </c>
      <c r="E52" s="24">
        <f t="shared" si="24"/>
        <v>-0.19198510490482146</v>
      </c>
      <c r="F52" s="112" t="str">
        <f t="shared" si="25"/>
        <v>🔴  At Risk</v>
      </c>
      <c r="H52" s="20" t="s">
        <v>169</v>
      </c>
      <c r="I52" s="125">
        <v>4121713.71</v>
      </c>
      <c r="J52" s="124">
        <f t="shared" si="29"/>
        <v>3634552</v>
      </c>
      <c r="K52" s="23">
        <f t="shared" si="26"/>
        <v>-487161.70999999996</v>
      </c>
      <c r="L52" s="24">
        <f t="shared" si="27"/>
        <v>-0.11819397082773125</v>
      </c>
      <c r="M52" s="112" t="str">
        <f t="shared" si="28"/>
        <v>🔴  At Risk</v>
      </c>
    </row>
    <row r="53" spans="1:13">
      <c r="A53" s="25" t="s">
        <v>124</v>
      </c>
      <c r="B53" s="126">
        <v>5923991</v>
      </c>
      <c r="C53" s="134">
        <f>SUM(Forecast!H62:J63)</f>
        <v>5626595</v>
      </c>
      <c r="D53" s="26">
        <f t="shared" si="23"/>
        <v>-297396</v>
      </c>
      <c r="E53" s="27">
        <f t="shared" si="24"/>
        <v>-5.0201966883474336E-2</v>
      </c>
      <c r="F53" s="116" t="str">
        <f t="shared" si="25"/>
        <v>🟡  Watch</v>
      </c>
      <c r="H53" s="25" t="s">
        <v>124</v>
      </c>
      <c r="I53" s="126">
        <v>6366774.29</v>
      </c>
      <c r="J53" s="134">
        <f t="shared" si="29"/>
        <v>5626595</v>
      </c>
      <c r="K53" s="26">
        <f t="shared" si="26"/>
        <v>-740179.29</v>
      </c>
      <c r="L53" s="27">
        <f t="shared" si="27"/>
        <v>-0.11625656200229458</v>
      </c>
      <c r="M53" s="116" t="str">
        <f t="shared" si="28"/>
        <v>🔴  At Risk</v>
      </c>
    </row>
    <row r="54" spans="1:13">
      <c r="A54" s="28" t="s">
        <v>171</v>
      </c>
      <c r="B54" s="29">
        <f>SUM(B48:B53)</f>
        <v>17174135</v>
      </c>
      <c r="C54" s="29">
        <f>SUM(C48:C53)</f>
        <v>16779010</v>
      </c>
      <c r="D54" s="29">
        <f t="shared" si="23"/>
        <v>-395125</v>
      </c>
      <c r="E54" s="30">
        <f t="shared" si="24"/>
        <v>-2.3006981137623526E-2</v>
      </c>
      <c r="F54" s="113" t="str">
        <f t="shared" si="25"/>
        <v>🟡  Watch</v>
      </c>
      <c r="H54" s="28" t="s">
        <v>171</v>
      </c>
      <c r="I54" s="29">
        <f>SUM(I48:I53)</f>
        <v>17524200.5</v>
      </c>
      <c r="J54" s="29">
        <f>SUM(J48:J53)</f>
        <v>16779010</v>
      </c>
      <c r="K54" s="29">
        <f t="shared" si="26"/>
        <v>-745190.5</v>
      </c>
      <c r="L54" s="30">
        <f t="shared" si="27"/>
        <v>-4.2523509132413775E-2</v>
      </c>
      <c r="M54" s="113" t="str">
        <f t="shared" si="28"/>
        <v>🟡  Watch</v>
      </c>
    </row>
    <row r="55" spans="1:13"/>
    <row r="56" spans="1:13"/>
    <row r="57" spans="1:13" ht="15.95">
      <c r="A57" s="222" t="s">
        <v>180</v>
      </c>
      <c r="B57" s="222"/>
      <c r="C57" s="222"/>
      <c r="D57" s="222"/>
      <c r="E57" s="222"/>
      <c r="F57" s="222"/>
      <c r="H57" s="223" t="s">
        <v>181</v>
      </c>
      <c r="I57" s="223"/>
      <c r="J57" s="223"/>
      <c r="K57" s="223"/>
      <c r="L57" s="223"/>
      <c r="M57" s="223"/>
    </row>
    <row r="58" spans="1:13">
      <c r="A58" s="226" t="s">
        <v>159</v>
      </c>
      <c r="B58" s="226"/>
      <c r="C58" s="226"/>
      <c r="D58" s="226"/>
      <c r="E58" s="226"/>
      <c r="F58" s="226"/>
      <c r="H58" s="219" t="s">
        <v>159</v>
      </c>
      <c r="I58" s="219"/>
      <c r="J58" s="219"/>
      <c r="K58" s="219"/>
      <c r="L58" s="219"/>
      <c r="M58" s="219"/>
    </row>
    <row r="59" spans="1:13">
      <c r="A59" s="118" t="s">
        <v>39</v>
      </c>
      <c r="B59" s="118" t="s">
        <v>149</v>
      </c>
      <c r="C59" s="118" t="s">
        <v>160</v>
      </c>
      <c r="D59" s="118" t="s">
        <v>161</v>
      </c>
      <c r="E59" s="118" t="s">
        <v>162</v>
      </c>
      <c r="F59" s="118" t="s">
        <v>163</v>
      </c>
      <c r="H59" s="19" t="s">
        <v>39</v>
      </c>
      <c r="I59" s="19" t="s">
        <v>150</v>
      </c>
      <c r="J59" s="19" t="s">
        <v>160</v>
      </c>
      <c r="K59" s="19" t="s">
        <v>161</v>
      </c>
      <c r="L59" s="19" t="s">
        <v>162</v>
      </c>
      <c r="M59" s="19" t="s">
        <v>163</v>
      </c>
    </row>
    <row r="60" spans="1:13">
      <c r="A60" s="20" t="s">
        <v>56</v>
      </c>
      <c r="B60" s="125">
        <v>4321874</v>
      </c>
      <c r="C60" s="124">
        <f>Forecast!K8+Forecast!L8+Forecast!M8</f>
        <v>4982877</v>
      </c>
      <c r="D60" s="23">
        <f t="shared" ref="D60:D66" si="30">IFERROR(C60-B60,0)</f>
        <v>661003</v>
      </c>
      <c r="E60" s="24">
        <f t="shared" ref="E60:E66" si="31">IFERROR((C60-B60)/ABS(B60),0)</f>
        <v>0.15294360733330031</v>
      </c>
      <c r="F60" s="112" t="str">
        <f t="shared" ref="F60:F66" si="32">IF(E60&gt;=0,"🟢  On Track",IF(E60&gt;=-0.1,"🟡  Watch","🔴  At Risk"))</f>
        <v>🟢  On Track</v>
      </c>
      <c r="H60" s="20" t="s">
        <v>56</v>
      </c>
      <c r="I60" s="125">
        <v>4569384.8099999996</v>
      </c>
      <c r="J60" s="124">
        <f>C60</f>
        <v>4982877</v>
      </c>
      <c r="K60" s="23">
        <f t="shared" ref="K60:K66" si="33">IFERROR(J60-I60,0)</f>
        <v>413492.19000000041</v>
      </c>
      <c r="L60" s="24">
        <f t="shared" ref="L60:L66" si="34">IFERROR((J60-I60)/ABS(I60),0)</f>
        <v>9.0491873018678948E-2</v>
      </c>
      <c r="M60" s="112" t="str">
        <f t="shared" ref="M60:M66" si="35">IF(L60&gt;=0,"🟢  On Track",IF(L60&gt;=-0.1,"🟡  Watch","🔴  At Risk"))</f>
        <v>🟢  On Track</v>
      </c>
    </row>
    <row r="61" spans="1:13">
      <c r="A61" s="25" t="s">
        <v>165</v>
      </c>
      <c r="B61" s="126">
        <v>1920366</v>
      </c>
      <c r="C61" s="134">
        <f>Forecast!K25+Forecast!L25+Forecast!M25</f>
        <v>1192152</v>
      </c>
      <c r="D61" s="26">
        <f t="shared" si="30"/>
        <v>-728214</v>
      </c>
      <c r="E61" s="27">
        <f t="shared" si="31"/>
        <v>-0.37920583888696219</v>
      </c>
      <c r="F61" s="116" t="str">
        <f t="shared" si="32"/>
        <v>🔴  At Risk</v>
      </c>
      <c r="H61" s="25" t="s">
        <v>165</v>
      </c>
      <c r="I61" s="126">
        <v>1920366</v>
      </c>
      <c r="J61" s="134">
        <f t="shared" ref="J61:J65" si="36">C61</f>
        <v>1192152</v>
      </c>
      <c r="K61" s="26">
        <f t="shared" si="33"/>
        <v>-728214</v>
      </c>
      <c r="L61" s="27">
        <f t="shared" si="34"/>
        <v>-0.37920583888696219</v>
      </c>
      <c r="M61" s="116" t="str">
        <f t="shared" si="35"/>
        <v>🔴  At Risk</v>
      </c>
    </row>
    <row r="62" spans="1:13">
      <c r="A62" s="20" t="s">
        <v>86</v>
      </c>
      <c r="B62" s="125">
        <v>249999</v>
      </c>
      <c r="C62" s="124">
        <f>Forecast!K28+Forecast!L28+Forecast!M28</f>
        <v>1500000</v>
      </c>
      <c r="D62" s="23">
        <f t="shared" si="30"/>
        <v>1250001</v>
      </c>
      <c r="E62" s="24">
        <f t="shared" si="31"/>
        <v>5.0000240000960003</v>
      </c>
      <c r="F62" s="112" t="str">
        <f t="shared" si="32"/>
        <v>🟢  On Track</v>
      </c>
      <c r="H62" s="20" t="s">
        <v>86</v>
      </c>
      <c r="I62" s="125">
        <v>314500</v>
      </c>
      <c r="J62" s="124">
        <f t="shared" si="36"/>
        <v>1500000</v>
      </c>
      <c r="K62" s="23">
        <f t="shared" si="33"/>
        <v>1185500</v>
      </c>
      <c r="L62" s="24">
        <f t="shared" si="34"/>
        <v>3.7694753577106517</v>
      </c>
      <c r="M62" s="112" t="str">
        <f t="shared" si="35"/>
        <v>🟢  On Track</v>
      </c>
    </row>
    <row r="63" spans="1:13">
      <c r="A63" s="25" t="s">
        <v>90</v>
      </c>
      <c r="B63" s="126">
        <v>1281000</v>
      </c>
      <c r="C63" s="134">
        <f>Forecast!K57+Forecast!L57+Forecast!M57</f>
        <v>415800</v>
      </c>
      <c r="D63" s="26">
        <f t="shared" si="30"/>
        <v>-865200</v>
      </c>
      <c r="E63" s="27">
        <f t="shared" si="31"/>
        <v>-0.67540983606557381</v>
      </c>
      <c r="F63" s="116" t="str">
        <f t="shared" si="32"/>
        <v>🔴  At Risk</v>
      </c>
      <c r="H63" s="25" t="s">
        <v>90</v>
      </c>
      <c r="I63" s="126">
        <v>1281000</v>
      </c>
      <c r="J63" s="134">
        <f t="shared" si="36"/>
        <v>415800</v>
      </c>
      <c r="K63" s="26">
        <f t="shared" si="33"/>
        <v>-865200</v>
      </c>
      <c r="L63" s="27">
        <f t="shared" si="34"/>
        <v>-0.67540983606557381</v>
      </c>
      <c r="M63" s="116" t="str">
        <f t="shared" si="35"/>
        <v>🔴  At Risk</v>
      </c>
    </row>
    <row r="64" spans="1:13">
      <c r="A64" s="20" t="s">
        <v>169</v>
      </c>
      <c r="B64" s="125">
        <v>5738933</v>
      </c>
      <c r="C64" s="124">
        <f>SUM(Forecast!K59:M61)</f>
        <v>4924362</v>
      </c>
      <c r="D64" s="23">
        <f t="shared" si="30"/>
        <v>-814571</v>
      </c>
      <c r="E64" s="24">
        <f t="shared" si="31"/>
        <v>-0.14193770862980976</v>
      </c>
      <c r="F64" s="112" t="str">
        <f t="shared" si="32"/>
        <v>🔴  At Risk</v>
      </c>
      <c r="H64" s="20" t="s">
        <v>169</v>
      </c>
      <c r="I64" s="125">
        <v>5258688.63</v>
      </c>
      <c r="J64" s="124">
        <f t="shared" si="36"/>
        <v>4924362</v>
      </c>
      <c r="K64" s="23">
        <f t="shared" si="33"/>
        <v>-334326.62999999989</v>
      </c>
      <c r="L64" s="24">
        <f t="shared" si="34"/>
        <v>-6.3576045954255311E-2</v>
      </c>
      <c r="M64" s="112" t="str">
        <f t="shared" si="35"/>
        <v>🟡  Watch</v>
      </c>
    </row>
    <row r="65" spans="1:15">
      <c r="A65" s="25" t="s">
        <v>124</v>
      </c>
      <c r="B65" s="126">
        <v>6615743</v>
      </c>
      <c r="C65" s="134">
        <f>SUM(Forecast!K62:M63)</f>
        <v>6579657</v>
      </c>
      <c r="D65" s="26">
        <f t="shared" si="30"/>
        <v>-36086</v>
      </c>
      <c r="E65" s="27">
        <f t="shared" si="31"/>
        <v>-5.4545649672304384E-3</v>
      </c>
      <c r="F65" s="116" t="str">
        <f t="shared" si="32"/>
        <v>🟡  Watch</v>
      </c>
      <c r="H65" s="25" t="s">
        <v>124</v>
      </c>
      <c r="I65" s="126">
        <v>7110230.6600000001</v>
      </c>
      <c r="J65" s="134">
        <f t="shared" si="36"/>
        <v>6579657</v>
      </c>
      <c r="K65" s="26">
        <f t="shared" si="33"/>
        <v>-530573.66000000015</v>
      </c>
      <c r="L65" s="27">
        <f t="shared" si="34"/>
        <v>-7.4621160039834794E-2</v>
      </c>
      <c r="M65" s="116" t="str">
        <f t="shared" si="35"/>
        <v>🟡  Watch</v>
      </c>
    </row>
    <row r="66" spans="1:15">
      <c r="A66" s="28" t="s">
        <v>171</v>
      </c>
      <c r="B66" s="29">
        <f>SUM(B60:B65)</f>
        <v>20127915</v>
      </c>
      <c r="C66" s="29">
        <f>SUM(C60:C65)</f>
        <v>19594848</v>
      </c>
      <c r="D66" s="29">
        <f t="shared" si="30"/>
        <v>-533067</v>
      </c>
      <c r="E66" s="30">
        <f t="shared" si="31"/>
        <v>-2.6483965179701922E-2</v>
      </c>
      <c r="F66" s="113" t="str">
        <f t="shared" si="32"/>
        <v>🟡  Watch</v>
      </c>
      <c r="H66" s="28" t="s">
        <v>171</v>
      </c>
      <c r="I66" s="29">
        <f>SUM(I60:I65)</f>
        <v>20454170.100000001</v>
      </c>
      <c r="J66" s="29">
        <f>SUM(J60:J65)</f>
        <v>19594848</v>
      </c>
      <c r="K66" s="29">
        <f t="shared" si="33"/>
        <v>-859322.10000000149</v>
      </c>
      <c r="L66" s="30">
        <f t="shared" si="34"/>
        <v>-4.2012073616225644E-2</v>
      </c>
      <c r="M66" s="113" t="str">
        <f t="shared" si="35"/>
        <v>🟡  Watch</v>
      </c>
    </row>
    <row r="67" spans="1:15"/>
    <row r="68" spans="1:15"/>
    <row r="69" spans="1:15"/>
    <row r="70" spans="1:15"/>
    <row r="71" spans="1:15"/>
    <row r="72" spans="1:15"/>
    <row r="73" spans="1:15"/>
    <row r="74" spans="1:15" ht="15.95">
      <c r="A74" s="121" t="s">
        <v>182</v>
      </c>
      <c r="B74" s="121"/>
      <c r="C74" s="121"/>
      <c r="D74" s="121"/>
      <c r="E74" s="121"/>
    </row>
    <row r="75" spans="1:15">
      <c r="A75" s="122" t="s">
        <v>39</v>
      </c>
      <c r="B75" s="119" t="s">
        <v>148</v>
      </c>
      <c r="C75" s="119" t="s">
        <v>160</v>
      </c>
      <c r="D75" s="119" t="s">
        <v>161</v>
      </c>
      <c r="E75" s="123" t="s">
        <v>162</v>
      </c>
    </row>
    <row r="76" spans="1:15">
      <c r="A76" s="95" t="s">
        <v>56</v>
      </c>
      <c r="B76" s="125">
        <v>11303536.449999999</v>
      </c>
      <c r="C76" s="124">
        <f t="shared" ref="C76:C81" si="37">C11</f>
        <v>17380964.486625001</v>
      </c>
      <c r="D76" s="96">
        <f t="shared" ref="D76:D82" si="38">IFERROR(C76-B76,0)</f>
        <v>6077428.0366250016</v>
      </c>
      <c r="E76" s="97">
        <f t="shared" ref="E76:E82" si="39">IFERROR((C76-B76)/ABS(B76),0)</f>
        <v>0.53765722466662214</v>
      </c>
    </row>
    <row r="77" spans="1:15" ht="15.95">
      <c r="A77" s="25" t="s">
        <v>165</v>
      </c>
      <c r="B77" s="126">
        <v>4871880</v>
      </c>
      <c r="C77" s="134">
        <f t="shared" si="37"/>
        <v>3742664.1522939997</v>
      </c>
      <c r="D77" s="100">
        <f t="shared" si="38"/>
        <v>-1129215.8477060003</v>
      </c>
      <c r="E77" s="101">
        <f t="shared" si="39"/>
        <v>-0.23178236075313849</v>
      </c>
      <c r="F77" s="93"/>
      <c r="O77" s="92"/>
    </row>
    <row r="78" spans="1:15">
      <c r="A78" s="95" t="s">
        <v>86</v>
      </c>
      <c r="B78" s="125">
        <v>1549731</v>
      </c>
      <c r="C78" s="124">
        <f t="shared" si="37"/>
        <v>5611993.2079910003</v>
      </c>
      <c r="D78" s="96">
        <f t="shared" si="38"/>
        <v>4062262.2079910003</v>
      </c>
      <c r="E78" s="97">
        <f t="shared" si="39"/>
        <v>2.621269244785708</v>
      </c>
      <c r="F78" s="94"/>
    </row>
    <row r="79" spans="1:15">
      <c r="A79" s="99" t="s">
        <v>90</v>
      </c>
      <c r="B79" s="126">
        <v>2800286</v>
      </c>
      <c r="C79" s="134">
        <f t="shared" si="37"/>
        <v>1233562.844694</v>
      </c>
      <c r="D79" s="100">
        <f t="shared" si="38"/>
        <v>-1566723.155306</v>
      </c>
      <c r="E79" s="101">
        <f t="shared" si="39"/>
        <v>-0.55948683645384789</v>
      </c>
      <c r="F79" s="98"/>
    </row>
    <row r="80" spans="1:15">
      <c r="A80" s="95" t="s">
        <v>169</v>
      </c>
      <c r="B80" s="125">
        <v>22207241.103823401</v>
      </c>
      <c r="C80" s="124">
        <f t="shared" si="37"/>
        <v>16915714.715663001</v>
      </c>
      <c r="D80" s="96">
        <f t="shared" si="38"/>
        <v>-5291526.3881604001</v>
      </c>
      <c r="E80" s="97">
        <f t="shared" si="39"/>
        <v>-0.23827932355133311</v>
      </c>
      <c r="F80" s="135"/>
      <c r="O80" s="136"/>
    </row>
    <row r="81" spans="1:15">
      <c r="A81" s="99" t="s">
        <v>124</v>
      </c>
      <c r="B81" s="126">
        <v>14320942.191603458</v>
      </c>
      <c r="C81" s="134">
        <f t="shared" si="37"/>
        <v>22277274.541124001</v>
      </c>
      <c r="D81" s="100">
        <f t="shared" si="38"/>
        <v>7956332.3495205436</v>
      </c>
      <c r="E81" s="101">
        <f t="shared" si="39"/>
        <v>0.55557324672293129</v>
      </c>
      <c r="F81" s="98"/>
    </row>
    <row r="82" spans="1:15">
      <c r="A82" s="102" t="s">
        <v>171</v>
      </c>
      <c r="B82" s="103">
        <f>SUM(B76:B81)</f>
        <v>57053616.745426856</v>
      </c>
      <c r="C82" s="103">
        <f>SUM(C76:C81)</f>
        <v>67162173.948391005</v>
      </c>
      <c r="D82" s="103">
        <f t="shared" si="38"/>
        <v>10108557.202964149</v>
      </c>
      <c r="E82" s="104">
        <f t="shared" si="39"/>
        <v>0.17717644874414387</v>
      </c>
      <c r="F82" s="98"/>
    </row>
    <row r="83" spans="1:15">
      <c r="F83" s="98"/>
    </row>
    <row r="84" spans="1:15">
      <c r="F84" s="98"/>
    </row>
    <row r="85" spans="1:15" ht="15.95">
      <c r="A85" s="121" t="s">
        <v>183</v>
      </c>
      <c r="B85" s="121"/>
      <c r="C85" s="121"/>
      <c r="D85" s="121"/>
      <c r="E85" s="121"/>
      <c r="F85" s="105"/>
    </row>
    <row r="86" spans="1:15">
      <c r="A86" s="122" t="s">
        <v>39</v>
      </c>
      <c r="B86" s="119" t="s">
        <v>148</v>
      </c>
      <c r="C86" s="119" t="s">
        <v>150</v>
      </c>
      <c r="D86" s="119" t="s">
        <v>161</v>
      </c>
      <c r="E86" s="123" t="s">
        <v>162</v>
      </c>
    </row>
    <row r="87" spans="1:15">
      <c r="A87" s="95" t="s">
        <v>56</v>
      </c>
      <c r="B87" s="125">
        <f t="shared" ref="B87:B92" si="40">B76</f>
        <v>11303536.449999999</v>
      </c>
      <c r="C87" s="124">
        <f t="shared" ref="C87:C92" si="41">I11</f>
        <v>14850000</v>
      </c>
      <c r="D87" s="96">
        <f t="shared" ref="D87:D93" si="42">IFERROR(C87-B87,0)</f>
        <v>3546463.5500000007</v>
      </c>
      <c r="E87" s="97">
        <f t="shared" ref="E87:E93" si="43">IFERROR((C87-B87)/ABS(B87),0)</f>
        <v>0.31374814118461136</v>
      </c>
    </row>
    <row r="88" spans="1:15" ht="15.95">
      <c r="A88" s="25" t="s">
        <v>165</v>
      </c>
      <c r="B88" s="126">
        <f t="shared" si="40"/>
        <v>4871880</v>
      </c>
      <c r="C88" s="134">
        <f t="shared" si="41"/>
        <v>6233352</v>
      </c>
      <c r="D88" s="100">
        <f t="shared" si="42"/>
        <v>1361472</v>
      </c>
      <c r="E88" s="101">
        <f t="shared" si="43"/>
        <v>0.27945515899406387</v>
      </c>
      <c r="F88" s="93"/>
      <c r="O88" s="92"/>
    </row>
    <row r="89" spans="1:15">
      <c r="A89" s="95" t="s">
        <v>86</v>
      </c>
      <c r="B89" s="125">
        <f t="shared" si="40"/>
        <v>1549731</v>
      </c>
      <c r="C89" s="124">
        <f t="shared" si="41"/>
        <v>1258000</v>
      </c>
      <c r="D89" s="96">
        <f t="shared" si="42"/>
        <v>-291731</v>
      </c>
      <c r="E89" s="97">
        <f t="shared" si="43"/>
        <v>-0.18824621821464499</v>
      </c>
      <c r="F89" s="94"/>
    </row>
    <row r="90" spans="1:15">
      <c r="A90" s="99" t="s">
        <v>90</v>
      </c>
      <c r="B90" s="126">
        <f t="shared" si="40"/>
        <v>2800286</v>
      </c>
      <c r="C90" s="134">
        <f t="shared" si="41"/>
        <v>3731000</v>
      </c>
      <c r="D90" s="100">
        <f t="shared" si="42"/>
        <v>930714</v>
      </c>
      <c r="E90" s="101">
        <f t="shared" si="43"/>
        <v>0.33236390854362735</v>
      </c>
      <c r="F90" s="98"/>
      <c r="O90" s="110"/>
    </row>
    <row r="91" spans="1:15">
      <c r="A91" s="95" t="s">
        <v>169</v>
      </c>
      <c r="B91" s="125">
        <f t="shared" si="40"/>
        <v>22207241.103823401</v>
      </c>
      <c r="C91" s="124">
        <f t="shared" si="41"/>
        <v>19027500</v>
      </c>
      <c r="D91" s="96">
        <f t="shared" si="42"/>
        <v>-3179741.103823401</v>
      </c>
      <c r="E91" s="97">
        <f t="shared" si="43"/>
        <v>-0.14318487780438191</v>
      </c>
      <c r="F91" s="135"/>
      <c r="O91" s="136"/>
    </row>
    <row r="92" spans="1:15">
      <c r="A92" s="99" t="s">
        <v>124</v>
      </c>
      <c r="B92" s="126">
        <f t="shared" si="40"/>
        <v>14320942.191603458</v>
      </c>
      <c r="C92" s="134">
        <f t="shared" si="41"/>
        <v>24283000</v>
      </c>
      <c r="D92" s="100">
        <f t="shared" si="42"/>
        <v>9962057.8083965424</v>
      </c>
      <c r="E92" s="101">
        <f t="shared" si="43"/>
        <v>0.69562865872312629</v>
      </c>
      <c r="F92" s="98"/>
    </row>
    <row r="93" spans="1:15">
      <c r="A93" s="102" t="s">
        <v>171</v>
      </c>
      <c r="B93" s="103">
        <f>SUM(B87:B92)</f>
        <v>57053616.745426856</v>
      </c>
      <c r="C93" s="103">
        <f>SUM(C87:C92)</f>
        <v>69382852</v>
      </c>
      <c r="D93" s="103">
        <f t="shared" si="42"/>
        <v>12329235.254573144</v>
      </c>
      <c r="E93" s="104">
        <f t="shared" si="43"/>
        <v>0.21609910042313657</v>
      </c>
      <c r="F93" s="98"/>
    </row>
    <row r="94" spans="1:15">
      <c r="A94" s="107"/>
      <c r="B94" s="107"/>
      <c r="C94" s="107"/>
      <c r="D94" s="107"/>
      <c r="E94" s="107"/>
      <c r="F94" s="98"/>
    </row>
    <row r="95" spans="1:15">
      <c r="F95" s="98"/>
    </row>
    <row r="96" spans="1:15" ht="15.95">
      <c r="A96" s="121" t="s">
        <v>184</v>
      </c>
      <c r="B96" s="121"/>
      <c r="C96" s="121"/>
      <c r="D96" s="121"/>
      <c r="E96" s="121"/>
      <c r="F96" s="105"/>
    </row>
    <row r="97" spans="1:15">
      <c r="A97" s="122" t="s">
        <v>39</v>
      </c>
      <c r="B97" s="119" t="s">
        <v>148</v>
      </c>
      <c r="C97" s="119" t="s">
        <v>149</v>
      </c>
      <c r="D97" s="119" t="s">
        <v>161</v>
      </c>
      <c r="E97" s="119" t="s">
        <v>162</v>
      </c>
      <c r="F97" s="111"/>
    </row>
    <row r="98" spans="1:15" ht="15" customHeight="1">
      <c r="A98" s="95" t="s">
        <v>56</v>
      </c>
      <c r="B98" s="125">
        <f t="shared" ref="B98:B103" si="44">B76</f>
        <v>11303536.449999999</v>
      </c>
      <c r="C98" s="124">
        <f t="shared" ref="C98:C103" si="45">B11</f>
        <v>14045617</v>
      </c>
      <c r="D98" s="96">
        <f t="shared" ref="D98:D104" si="46">IFERROR(C98-B98,0)</f>
        <v>2742080.5500000007</v>
      </c>
      <c r="E98" s="97">
        <f t="shared" ref="E98:E104" si="47">IFERROR((C98-B98)/ABS(B98),0)</f>
        <v>0.24258607579400523</v>
      </c>
    </row>
    <row r="99" spans="1:15" ht="15.95">
      <c r="A99" s="25" t="s">
        <v>165</v>
      </c>
      <c r="B99" s="126">
        <f t="shared" si="44"/>
        <v>4871880</v>
      </c>
      <c r="C99" s="134">
        <f t="shared" si="45"/>
        <v>6233352</v>
      </c>
      <c r="D99" s="100">
        <f t="shared" si="46"/>
        <v>1361472</v>
      </c>
      <c r="E99" s="101">
        <f t="shared" si="47"/>
        <v>0.27945515899406387</v>
      </c>
      <c r="F99" s="93"/>
      <c r="O99" s="92"/>
    </row>
    <row r="100" spans="1:15">
      <c r="A100" s="95" t="s">
        <v>86</v>
      </c>
      <c r="B100" s="125">
        <f t="shared" si="44"/>
        <v>1549731</v>
      </c>
      <c r="C100" s="124">
        <f t="shared" si="45"/>
        <v>999996</v>
      </c>
      <c r="D100" s="96">
        <f t="shared" si="46"/>
        <v>-549735</v>
      </c>
      <c r="E100" s="97">
        <f t="shared" si="47"/>
        <v>-0.35472930463415908</v>
      </c>
      <c r="F100" s="94"/>
    </row>
    <row r="101" spans="1:15">
      <c r="A101" s="99" t="s">
        <v>90</v>
      </c>
      <c r="B101" s="126">
        <f t="shared" si="44"/>
        <v>2800286</v>
      </c>
      <c r="C101" s="134">
        <f t="shared" si="45"/>
        <v>3731000</v>
      </c>
      <c r="D101" s="100">
        <f t="shared" si="46"/>
        <v>930714</v>
      </c>
      <c r="E101" s="101">
        <f t="shared" si="47"/>
        <v>0.33236390854362735</v>
      </c>
      <c r="F101" s="98"/>
    </row>
    <row r="102" spans="1:15">
      <c r="A102" s="95" t="s">
        <v>169</v>
      </c>
      <c r="B102" s="125">
        <f t="shared" si="44"/>
        <v>22207241.103823401</v>
      </c>
      <c r="C102" s="124">
        <f t="shared" si="45"/>
        <v>20765167</v>
      </c>
      <c r="D102" s="96">
        <f t="shared" si="46"/>
        <v>-1442074.103823401</v>
      </c>
      <c r="E102" s="97">
        <f t="shared" si="47"/>
        <v>-6.4937112047435755E-2</v>
      </c>
      <c r="F102" s="135"/>
      <c r="O102" s="136"/>
    </row>
    <row r="103" spans="1:15">
      <c r="A103" s="99" t="s">
        <v>124</v>
      </c>
      <c r="B103" s="126">
        <f t="shared" si="44"/>
        <v>14320942.191603458</v>
      </c>
      <c r="C103" s="134">
        <f t="shared" si="45"/>
        <v>22594216</v>
      </c>
      <c r="D103" s="100">
        <f t="shared" si="46"/>
        <v>8273273.8083965424</v>
      </c>
      <c r="E103" s="101">
        <f t="shared" si="47"/>
        <v>0.57770457402218012</v>
      </c>
      <c r="F103" s="98"/>
    </row>
    <row r="104" spans="1:15">
      <c r="A104" s="102" t="s">
        <v>171</v>
      </c>
      <c r="B104" s="103">
        <f>SUM(B98:B103)</f>
        <v>57053616.745426856</v>
      </c>
      <c r="C104" s="103">
        <f>SUM(C98:C103)</f>
        <v>68369348</v>
      </c>
      <c r="D104" s="103">
        <f t="shared" si="46"/>
        <v>11315731.254573144</v>
      </c>
      <c r="E104" s="106">
        <f t="shared" si="47"/>
        <v>0.19833503816355619</v>
      </c>
      <c r="F104" s="98"/>
    </row>
    <row r="105" spans="1:15">
      <c r="F105" s="98"/>
    </row>
    <row r="106" spans="1:15">
      <c r="F106" s="98"/>
    </row>
    <row r="113"/>
    <row r="130" spans="1:6">
      <c r="A130" s="31"/>
      <c r="B130" s="31"/>
      <c r="C130" s="31"/>
      <c r="D130" s="31"/>
      <c r="E130" s="31"/>
      <c r="F130" s="31"/>
    </row>
    <row r="131" spans="1:6">
      <c r="B131" s="32"/>
      <c r="C131" s="32"/>
      <c r="D131" s="32"/>
      <c r="E131" s="32"/>
      <c r="F131" s="32"/>
    </row>
    <row r="132" spans="1:6">
      <c r="B132" s="32"/>
      <c r="C132" s="32"/>
      <c r="D132" s="32"/>
      <c r="E132" s="32"/>
      <c r="F132" s="32"/>
    </row>
    <row r="133" spans="1:6">
      <c r="B133" s="32"/>
      <c r="C133" s="32"/>
      <c r="D133" s="32"/>
      <c r="E133" s="32"/>
      <c r="F133" s="32"/>
    </row>
    <row r="134" spans="1:6">
      <c r="B134" s="32"/>
      <c r="C134" s="32"/>
      <c r="D134" s="32"/>
      <c r="E134" s="32"/>
      <c r="F134" s="32"/>
    </row>
    <row r="135" spans="1:6">
      <c r="B135" s="32"/>
      <c r="C135" s="32"/>
      <c r="D135" s="32"/>
      <c r="E135" s="32"/>
      <c r="F135" s="32"/>
    </row>
    <row r="136" spans="1:6">
      <c r="B136" s="32"/>
      <c r="C136" s="32"/>
      <c r="D136" s="32"/>
      <c r="E136" s="32"/>
      <c r="F136" s="32"/>
    </row>
  </sheetData>
  <sheetProtection sheet="1" objects="1" scenarios="1"/>
  <protectedRanges>
    <protectedRange sqref="N9:N18" name="Range1"/>
  </protectedRanges>
  <mergeCells count="25">
    <mergeCell ref="H58:M58"/>
    <mergeCell ref="A34:F34"/>
    <mergeCell ref="A45:F45"/>
    <mergeCell ref="A46:F46"/>
    <mergeCell ref="H46:M46"/>
    <mergeCell ref="A58:F58"/>
    <mergeCell ref="A1:F1"/>
    <mergeCell ref="A2:F2"/>
    <mergeCell ref="A5:F5"/>
    <mergeCell ref="A8:F8"/>
    <mergeCell ref="H8:M8"/>
    <mergeCell ref="H9:M9"/>
    <mergeCell ref="H18:M18"/>
    <mergeCell ref="A9:F9"/>
    <mergeCell ref="A18:F18"/>
    <mergeCell ref="A57:F57"/>
    <mergeCell ref="A21:F21"/>
    <mergeCell ref="A22:F22"/>
    <mergeCell ref="A33:F33"/>
    <mergeCell ref="H21:M21"/>
    <mergeCell ref="H22:M22"/>
    <mergeCell ref="H33:M33"/>
    <mergeCell ref="H34:M34"/>
    <mergeCell ref="H45:M45"/>
    <mergeCell ref="H57:M5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N68"/>
  <sheetViews>
    <sheetView showGridLines="0" zoomScale="85" zoomScaleNormal="85" workbookViewId="0">
      <pane xSplit="1" ySplit="3" topLeftCell="B4" activePane="bottomRight" state="frozen"/>
      <selection pane="bottomRight" activeCell="B8" sqref="B8"/>
      <selection pane="bottomLeft" activeCell="A3" sqref="A3:XFD37"/>
      <selection pane="topRight" activeCell="A3" sqref="A3:XFD37"/>
    </sheetView>
    <sheetView workbookViewId="1">
      <pane ySplit="2" topLeftCell="A12" activePane="bottomLeft" state="frozen"/>
      <selection pane="bottomLeft" activeCell="D65" sqref="D65"/>
    </sheetView>
  </sheetViews>
  <sheetFormatPr defaultColWidth="8.7109375" defaultRowHeight="32.25" customHeight="1"/>
  <cols>
    <col min="1" max="1" width="36" customWidth="1"/>
    <col min="2" max="14" width="14.7109375" customWidth="1"/>
  </cols>
  <sheetData>
    <row r="1" spans="1:14" ht="32.25" customHeight="1">
      <c r="A1" s="227" t="s">
        <v>185</v>
      </c>
      <c r="B1" s="227"/>
      <c r="C1" s="227"/>
      <c r="D1" s="227"/>
      <c r="E1" s="227"/>
      <c r="F1" s="227"/>
      <c r="G1" s="227"/>
      <c r="H1" s="227"/>
      <c r="I1" s="227"/>
      <c r="J1" s="227"/>
      <c r="K1" s="227"/>
      <c r="L1" s="227"/>
      <c r="M1" s="227"/>
      <c r="N1" s="227"/>
    </row>
    <row r="2" spans="1:14" ht="32.25" customHeight="1">
      <c r="A2" s="137" t="s">
        <v>186</v>
      </c>
      <c r="B2" s="137" t="s">
        <v>42</v>
      </c>
      <c r="C2" s="137" t="s">
        <v>43</v>
      </c>
      <c r="D2" s="137" t="s">
        <v>44</v>
      </c>
      <c r="E2" s="137" t="s">
        <v>45</v>
      </c>
      <c r="F2" s="137" t="s">
        <v>46</v>
      </c>
      <c r="G2" s="137" t="s">
        <v>47</v>
      </c>
      <c r="H2" s="137" t="s">
        <v>48</v>
      </c>
      <c r="I2" s="137" t="s">
        <v>49</v>
      </c>
      <c r="J2" s="137" t="s">
        <v>50</v>
      </c>
      <c r="K2" s="137" t="s">
        <v>51</v>
      </c>
      <c r="L2" s="137" t="s">
        <v>52</v>
      </c>
      <c r="M2" s="137" t="s">
        <v>53</v>
      </c>
      <c r="N2" s="137" t="s">
        <v>54</v>
      </c>
    </row>
    <row r="3" spans="1:14" ht="32.25" customHeight="1">
      <c r="A3" s="37" t="s">
        <v>55</v>
      </c>
      <c r="B3" s="138" t="str">
        <f>IF(Rotowire!C4=0,"FORECAST","ACTUAL")</f>
        <v>ACTUAL</v>
      </c>
      <c r="C3" s="138" t="str">
        <f>IF(Rotowire!D4=0,"FORECAST","ACTUAL")</f>
        <v>ACTUAL</v>
      </c>
      <c r="D3" s="138" t="str">
        <f>IF(Rotowire!E4=0,"FORECAST","ACTUAL")</f>
        <v>ACTUAL</v>
      </c>
      <c r="E3" s="138" t="str">
        <f>IF(Rotowire!F4=0,"FORECAST","ACTUAL")</f>
        <v>FORECAST</v>
      </c>
      <c r="F3" s="138" t="str">
        <f>IF(Rotowire!G4=0,"FORECAST","ACTUAL")</f>
        <v>FORECAST</v>
      </c>
      <c r="G3" s="138" t="str">
        <f>IF(Rotowire!H4=0,"FORECAST","ACTUAL")</f>
        <v>FORECAST</v>
      </c>
      <c r="H3" s="138" t="str">
        <f>IF(Rotowire!I4=0,"FORECAST","ACTUAL")</f>
        <v>FORECAST</v>
      </c>
      <c r="I3" s="138" t="str">
        <f>IF(Rotowire!J4=0,"FORECAST","ACTUAL")</f>
        <v>FORECAST</v>
      </c>
      <c r="J3" s="138" t="str">
        <f>IF(Rotowire!K4=0,"FORECAST","ACTUAL")</f>
        <v>FORECAST</v>
      </c>
      <c r="K3" s="138" t="str">
        <f>IF(Rotowire!L4=0,"FORECAST","ACTUAL")</f>
        <v>FORECAST</v>
      </c>
      <c r="L3" s="138" t="str">
        <f>IF(Rotowire!M4=0,"FORECAST","ACTUAL")</f>
        <v>FORECAST</v>
      </c>
      <c r="M3" s="138" t="str">
        <f>IF(Rotowire!N4=0,"FORECAST","ACTUAL")</f>
        <v>FORECAST</v>
      </c>
      <c r="N3" s="37"/>
    </row>
    <row r="4" spans="1:14" ht="32.25" customHeight="1">
      <c r="A4" s="139" t="s">
        <v>57</v>
      </c>
      <c r="B4" s="140">
        <f>IF(Rotowire!C4=0,Rotowire!C6,Rotowire!C4)</f>
        <v>474038.264264</v>
      </c>
      <c r="C4" s="140">
        <f>IF(Rotowire!D4=0,Rotowire!D6,Rotowire!D4)</f>
        <v>459134.71760600002</v>
      </c>
      <c r="D4" s="140">
        <f>IF(Rotowire!E4=0,Rotowire!E6,Rotowire!E4)</f>
        <v>552360.196367</v>
      </c>
      <c r="E4" s="140">
        <f>IF(Rotowire!F4=0,Rotowire!F6,Rotowire!F4)</f>
        <v>459073</v>
      </c>
      <c r="F4" s="140">
        <f>IF(Rotowire!G4=0,Rotowire!G6,Rotowire!G4)</f>
        <v>452554</v>
      </c>
      <c r="G4" s="140">
        <f>IF(Rotowire!H4=0,Rotowire!H6,Rotowire!H4)</f>
        <v>478438</v>
      </c>
      <c r="H4" s="140">
        <f>IF(Rotowire!I4=0,Rotowire!I6,Rotowire!I4)</f>
        <v>491501</v>
      </c>
      <c r="I4" s="140">
        <f>IF(Rotowire!J4=0,Rotowire!J6,Rotowire!J4)</f>
        <v>751620</v>
      </c>
      <c r="J4" s="140">
        <f>IF(Rotowire!K4=0,Rotowire!K6,Rotowire!K4)</f>
        <v>784277</v>
      </c>
      <c r="K4" s="140">
        <f>IF(Rotowire!L4=0,Rotowire!L6,Rotowire!L4)</f>
        <v>731746</v>
      </c>
      <c r="L4" s="140">
        <f>IF(Rotowire!M4=0,Rotowire!M6,Rotowire!M4)</f>
        <v>714855</v>
      </c>
      <c r="M4" s="140">
        <f>IF(Rotowire!N4=0,Rotowire!N6,Rotowire!N4)</f>
        <v>681276</v>
      </c>
      <c r="N4" s="140">
        <f>SUM(B4:M4)</f>
        <v>7030873.1782370005</v>
      </c>
    </row>
    <row r="5" spans="1:14" ht="32.25" customHeight="1">
      <c r="A5" s="141" t="s">
        <v>60</v>
      </c>
      <c r="B5" s="142">
        <f>IF(Rotowire!C11=0,Rotowire!C13,Rotowire!C11)</f>
        <v>111988.725114</v>
      </c>
      <c r="C5" s="142">
        <f>IF(Rotowire!D11=0,Rotowire!D13,Rotowire!D11)</f>
        <v>103856.796049</v>
      </c>
      <c r="D5" s="142">
        <f>IF(Rotowire!E11=0,Rotowire!E13,Rotowire!E11)</f>
        <v>134400.81461500001</v>
      </c>
      <c r="E5" s="142">
        <f>IF(Rotowire!F11=0,Rotowire!F13,Rotowire!F11)</f>
        <v>114000</v>
      </c>
      <c r="F5" s="142">
        <f>IF(Rotowire!G11=0,Rotowire!G13,Rotowire!G11)</f>
        <v>79000</v>
      </c>
      <c r="G5" s="142">
        <f>IF(Rotowire!H11=0,Rotowire!H13,Rotowire!H11)</f>
        <v>74000</v>
      </c>
      <c r="H5" s="142">
        <f>IF(Rotowire!I11=0,Rotowire!I13,Rotowire!I11)</f>
        <v>82000</v>
      </c>
      <c r="I5" s="142">
        <f>IF(Rotowire!J11=0,Rotowire!J13,Rotowire!J11)</f>
        <v>124000</v>
      </c>
      <c r="J5" s="142">
        <f>IF(Rotowire!K11=0,Rotowire!K13,Rotowire!K11)</f>
        <v>124000</v>
      </c>
      <c r="K5" s="142">
        <f>IF(Rotowire!L11=0,Rotowire!L13,Rotowire!L11)</f>
        <v>107000</v>
      </c>
      <c r="L5" s="142">
        <f>IF(Rotowire!M11=0,Rotowire!M13,Rotowire!M11)</f>
        <v>124000</v>
      </c>
      <c r="M5" s="142">
        <f>IF(Rotowire!N11=0,Rotowire!N13,Rotowire!N11)</f>
        <v>124000</v>
      </c>
      <c r="N5" s="142">
        <f>SUM(B5:M5)</f>
        <v>1302246.3357780001</v>
      </c>
    </row>
    <row r="6" spans="1:14" ht="32.25" customHeight="1">
      <c r="A6" s="139" t="s">
        <v>61</v>
      </c>
      <c r="B6" s="140">
        <f>IF(Rotowire!C18=0,Rotowire!C20,Rotowire!C18)</f>
        <v>243987.31782600001</v>
      </c>
      <c r="C6" s="140">
        <f>IF(Rotowire!D18=0,Rotowire!D20,Rotowire!D18)</f>
        <v>236446.50021299999</v>
      </c>
      <c r="D6" s="140">
        <f>IF(Rotowire!E18=0,Rotowire!E20,Rotowire!E18)</f>
        <v>248430.63376299999</v>
      </c>
      <c r="E6" s="140">
        <f>IF(Rotowire!F18=0,Rotowire!F20,Rotowire!F18)</f>
        <v>254000</v>
      </c>
      <c r="F6" s="140">
        <f>IF(Rotowire!G18=0,Rotowire!G20,Rotowire!G18)</f>
        <v>264000</v>
      </c>
      <c r="G6" s="140">
        <f>IF(Rotowire!H18=0,Rotowire!H20,Rotowire!H18)</f>
        <v>274000</v>
      </c>
      <c r="H6" s="140">
        <f>IF(Rotowire!I18=0,Rotowire!I20,Rotowire!I18)</f>
        <v>311000</v>
      </c>
      <c r="I6" s="140">
        <f>IF(Rotowire!J18=0,Rotowire!J20,Rotowire!J18)</f>
        <v>321000</v>
      </c>
      <c r="J6" s="140">
        <f>IF(Rotowire!K18=0,Rotowire!K20,Rotowire!K18)</f>
        <v>324000</v>
      </c>
      <c r="K6" s="140">
        <f>IF(Rotowire!L18=0,Rotowire!L20,Rotowire!L18)</f>
        <v>330000</v>
      </c>
      <c r="L6" s="140">
        <f>IF(Rotowire!M18=0,Rotowire!M20,Rotowire!M18)</f>
        <v>333000</v>
      </c>
      <c r="M6" s="140">
        <f>IF(Rotowire!N18=0,Rotowire!N20,Rotowire!N18)</f>
        <v>337000</v>
      </c>
      <c r="N6" s="140">
        <f>SUM(B6:M6)</f>
        <v>3476864.4518019999</v>
      </c>
    </row>
    <row r="7" spans="1:14" ht="32.25" customHeight="1">
      <c r="A7" s="143" t="s">
        <v>63</v>
      </c>
      <c r="B7" s="144">
        <f>IF(Bookies!C109=0,Bookies!C111,Bookies!C109)</f>
        <v>373629.35438099998</v>
      </c>
      <c r="C7" s="144">
        <f>IF(Bookies!D109=0,Bookies!D111,Bookies!D109)</f>
        <v>478517.08681399998</v>
      </c>
      <c r="D7" s="144">
        <f>IF(Bookies!E109=0,Bookies!E111,Bookies!E109)</f>
        <v>568834.07961300004</v>
      </c>
      <c r="E7" s="144">
        <f>IF(Bookies!F109=0,Bookies!F111,Bookies!F109)</f>
        <v>500000</v>
      </c>
      <c r="F7" s="144">
        <f>IF(Bookies!G109=0,Bookies!G111,Bookies!G109)</f>
        <v>350000</v>
      </c>
      <c r="G7" s="144">
        <f>IF(Bookies!H109=0,Bookies!H111,Bookies!H109)</f>
        <v>350000</v>
      </c>
      <c r="H7" s="144">
        <f>IF(Bookies!I109=0,Bookies!I111,Bookies!I109)</f>
        <v>350000</v>
      </c>
      <c r="I7" s="144">
        <f>IF(Bookies!J109=0,Bookies!J111,Bookies!J109)</f>
        <v>500000</v>
      </c>
      <c r="J7" s="144">
        <f>IF(Bookies!K109=0,Bookies!K111,Bookies!K109)</f>
        <v>600000</v>
      </c>
      <c r="K7" s="144">
        <f>IF(Bookies!L109=0,Bookies!L111,Bookies!L109)</f>
        <v>500000</v>
      </c>
      <c r="L7" s="144">
        <f>IF(Bookies!M109=0,Bookies!M111,Bookies!M109)</f>
        <v>500000</v>
      </c>
      <c r="M7" s="144">
        <f>IF(Bookies!N109=0,Bookies!N111,Bookies!N109)</f>
        <v>500000</v>
      </c>
      <c r="N7" s="144">
        <f>SUM(B7:M7)</f>
        <v>5570980.5208080001</v>
      </c>
    </row>
    <row r="8" spans="1:14" ht="32.25" customHeight="1">
      <c r="A8" s="145" t="s">
        <v>187</v>
      </c>
      <c r="B8" s="146">
        <f t="shared" ref="B8:N8" si="0">SUM(B4:B7)</f>
        <v>1203643.6615850001</v>
      </c>
      <c r="C8" s="146">
        <f t="shared" si="0"/>
        <v>1277955.1006819999</v>
      </c>
      <c r="D8" s="146">
        <f t="shared" si="0"/>
        <v>1504025.7243580001</v>
      </c>
      <c r="E8" s="146">
        <f t="shared" si="0"/>
        <v>1327073</v>
      </c>
      <c r="F8" s="146">
        <f t="shared" si="0"/>
        <v>1145554</v>
      </c>
      <c r="G8" s="146">
        <f t="shared" si="0"/>
        <v>1176438</v>
      </c>
      <c r="H8" s="146">
        <f t="shared" si="0"/>
        <v>1234501</v>
      </c>
      <c r="I8" s="146">
        <f t="shared" si="0"/>
        <v>1696620</v>
      </c>
      <c r="J8" s="146">
        <f t="shared" si="0"/>
        <v>1832277</v>
      </c>
      <c r="K8" s="146">
        <f t="shared" si="0"/>
        <v>1668746</v>
      </c>
      <c r="L8" s="146">
        <f t="shared" si="0"/>
        <v>1671855</v>
      </c>
      <c r="M8" s="146">
        <f t="shared" si="0"/>
        <v>1642276</v>
      </c>
      <c r="N8" s="146">
        <f t="shared" si="0"/>
        <v>17380964.486625001</v>
      </c>
    </row>
    <row r="9" spans="1:14" ht="32.25" customHeight="1">
      <c r="A9" s="37" t="s">
        <v>65</v>
      </c>
      <c r="B9" s="138" t="str">
        <f>IF(Bookies!C4=0,"FORECAST","ACTUAL")</f>
        <v>ACTUAL</v>
      </c>
      <c r="C9" s="138" t="str">
        <f>IF(Bookies!D4=0,"FORECAST","ACTUAL")</f>
        <v>ACTUAL</v>
      </c>
      <c r="D9" s="138" t="str">
        <f>IF(Bookies!E4=0,"FORECAST","ACTUAL")</f>
        <v>ACTUAL</v>
      </c>
      <c r="E9" s="138" t="str">
        <f>IF(Bookies!F4=0,"FORECAST","ACTUAL")</f>
        <v>FORECAST</v>
      </c>
      <c r="F9" s="138" t="str">
        <f>IF(Bookies!G4=0,"FORECAST","ACTUAL")</f>
        <v>FORECAST</v>
      </c>
      <c r="G9" s="138" t="str">
        <f>IF(Bookies!H4=0,"FORECAST","ACTUAL")</f>
        <v>FORECAST</v>
      </c>
      <c r="H9" s="138" t="str">
        <f>IF(Bookies!I4=0,"FORECAST","ACTUAL")</f>
        <v>FORECAST</v>
      </c>
      <c r="I9" s="138" t="str">
        <f>IF(Bookies!J4=0,"FORECAST","ACTUAL")</f>
        <v>FORECAST</v>
      </c>
      <c r="J9" s="138" t="str">
        <f>IF(Bookies!K4=0,"FORECAST","ACTUAL")</f>
        <v>FORECAST</v>
      </c>
      <c r="K9" s="138" t="str">
        <f>IF(Bookies!L4=0,"FORECAST","ACTUAL")</f>
        <v>FORECAST</v>
      </c>
      <c r="L9" s="138" t="str">
        <f>IF(Bookies!M4=0,"FORECAST","ACTUAL")</f>
        <v>FORECAST</v>
      </c>
      <c r="M9" s="138" t="str">
        <f>IF(Bookies!N4=0,"FORECAST","ACTUAL")</f>
        <v>FORECAST</v>
      </c>
      <c r="N9" s="37"/>
    </row>
    <row r="10" spans="1:14" ht="32.25" customHeight="1">
      <c r="A10" s="139" t="s">
        <v>67</v>
      </c>
      <c r="B10" s="140">
        <f>IF(Bookies!C4=0,Bookies!C6,Bookies!C4)</f>
        <v>-3260.215549</v>
      </c>
      <c r="C10" s="140">
        <f>IF(Bookies!D4=0,Bookies!D6,Bookies!D4)</f>
        <v>44660</v>
      </c>
      <c r="D10" s="140">
        <f>IF(Bookies!E4=0,Bookies!E6,Bookies!E4)</f>
        <v>2249</v>
      </c>
      <c r="E10" s="140">
        <f>IF(Bookies!F4=0,Bookies!F6,Bookies!F4)</f>
        <v>55000</v>
      </c>
      <c r="F10" s="140">
        <f>IF(Bookies!G4=0,Bookies!G6,Bookies!G4)</f>
        <v>55000</v>
      </c>
      <c r="G10" s="140">
        <f>IF(Bookies!H4=0,Bookies!H6,Bookies!H4)</f>
        <v>55000</v>
      </c>
      <c r="H10" s="140">
        <f>IF(Bookies!I4=0,Bookies!I6,Bookies!I4)</f>
        <v>95000</v>
      </c>
      <c r="I10" s="140">
        <f>IF(Bookies!J4=0,Bookies!J6,Bookies!J4)</f>
        <v>105000</v>
      </c>
      <c r="J10" s="140">
        <f>IF(Bookies!K4=0,Bookies!K6,Bookies!K4)</f>
        <v>150000</v>
      </c>
      <c r="K10" s="140">
        <f>IF(Bookies!L4=0,Bookies!L6,Bookies!L4)</f>
        <v>105000</v>
      </c>
      <c r="L10" s="140">
        <f>IF(Bookies!M4=0,Bookies!M6,Bookies!M4)</f>
        <v>105000</v>
      </c>
      <c r="M10" s="140">
        <f>IF(Bookies!N4=0,Bookies!N6,Bookies!N4)</f>
        <v>105000</v>
      </c>
      <c r="N10" s="140">
        <f>SUM(B10:M10)</f>
        <v>873648.78445099993</v>
      </c>
    </row>
    <row r="11" spans="1:14" ht="32.25" customHeight="1">
      <c r="A11" s="141" t="s">
        <v>68</v>
      </c>
      <c r="B11" s="142">
        <f>IF(Bookies!C11=0,Bookies!C13,Bookies!C11)</f>
        <v>212757.87822700001</v>
      </c>
      <c r="C11" s="142">
        <f>IF(Bookies!D11=0,Bookies!D13,Bookies!D11)</f>
        <v>148559.80689199999</v>
      </c>
      <c r="D11" s="142">
        <f>IF(Bookies!E11=0,Bookies!E13,Bookies!E11)</f>
        <v>9433</v>
      </c>
      <c r="E11" s="142">
        <f>IF(Bookies!F11=0,Bookies!F13,Bookies!F11)</f>
        <v>150000</v>
      </c>
      <c r="F11" s="142">
        <f>IF(Bookies!G11=0,Bookies!G13,Bookies!G11)</f>
        <v>150000</v>
      </c>
      <c r="G11" s="142">
        <f>IF(Bookies!H11=0,Bookies!H13,Bookies!H11)</f>
        <v>150000</v>
      </c>
      <c r="H11" s="142">
        <f>IF(Bookies!I11=0,Bookies!I13,Bookies!I11)</f>
        <v>150000</v>
      </c>
      <c r="I11" s="142">
        <f>IF(Bookies!J11=0,Bookies!J13,Bookies!J11)</f>
        <v>215000</v>
      </c>
      <c r="J11" s="142">
        <f>IF(Bookies!K11=0,Bookies!K13,Bookies!K11)</f>
        <v>205000</v>
      </c>
      <c r="K11" s="142">
        <f>IF(Bookies!L11=0,Bookies!L13,Bookies!L11)</f>
        <v>200000</v>
      </c>
      <c r="L11" s="142">
        <f>IF(Bookies!M11=0,Bookies!M13,Bookies!M11)</f>
        <v>200000</v>
      </c>
      <c r="M11" s="142">
        <f>IF(Bookies!N11=0,Bookies!N13,Bookies!N11)</f>
        <v>200000</v>
      </c>
      <c r="N11" s="142">
        <f t="shared" ref="N11:N25" si="1">SUM(B11:M11)</f>
        <v>1990750.685119</v>
      </c>
    </row>
    <row r="12" spans="1:14" ht="32.25" customHeight="1">
      <c r="A12" s="139" t="s">
        <v>69</v>
      </c>
      <c r="B12" s="140">
        <f>IF(Bookies!C18=0,Bookies!C20,Bookies!C18)</f>
        <v>2024.5313410000001</v>
      </c>
      <c r="C12" s="140">
        <f>IF(Bookies!D18=0,Bookies!D20,Bookies!D18)</f>
        <v>6347.5797160000002</v>
      </c>
      <c r="D12" s="140">
        <f>IF(Bookies!E18=0,Bookies!E20,Bookies!E18)</f>
        <v>6358</v>
      </c>
      <c r="E12" s="140">
        <f>IF(Bookies!F18=0,Bookies!F20,Bookies!F18)</f>
        <v>13500</v>
      </c>
      <c r="F12" s="140">
        <f>IF(Bookies!G18=0,Bookies!G20,Bookies!G18)</f>
        <v>12000</v>
      </c>
      <c r="G12" s="140">
        <f>IF(Bookies!H18=0,Bookies!H20,Bookies!H18)</f>
        <v>13500</v>
      </c>
      <c r="H12" s="140">
        <f>IF(Bookies!I18=0,Bookies!I20,Bookies!I18)</f>
        <v>12000</v>
      </c>
      <c r="I12" s="140">
        <f>IF(Bookies!J18=0,Bookies!J20,Bookies!J18)</f>
        <v>14000</v>
      </c>
      <c r="J12" s="140">
        <f>IF(Bookies!K18=0,Bookies!K20,Bookies!K18)</f>
        <v>16000</v>
      </c>
      <c r="K12" s="140">
        <f>IF(Bookies!L18=0,Bookies!L20,Bookies!L18)</f>
        <v>10000</v>
      </c>
      <c r="L12" s="140">
        <f>IF(Bookies!M18=0,Bookies!M20,Bookies!M18)</f>
        <v>10000</v>
      </c>
      <c r="M12" s="140">
        <f>IF(Bookies!N18=0,Bookies!N20,Bookies!N18)</f>
        <v>10000</v>
      </c>
      <c r="N12" s="140">
        <f t="shared" si="1"/>
        <v>125730.111057</v>
      </c>
    </row>
    <row r="13" spans="1:14" ht="32.25" customHeight="1">
      <c r="A13" s="141" t="s">
        <v>70</v>
      </c>
      <c r="B13" s="142">
        <f>IF(Bookies!C25=0,Bookies!C27,Bookies!C25)</f>
        <v>5566.1160609999997</v>
      </c>
      <c r="C13" s="142">
        <f>IF(Bookies!D25=0,Bookies!D27,Bookies!D25)</f>
        <v>14370.106075</v>
      </c>
      <c r="D13" s="142">
        <f>IF(Bookies!E25=0,Bookies!E27,Bookies!E25)</f>
        <v>7935</v>
      </c>
      <c r="E13" s="142">
        <f>IF(Bookies!F25=0,Bookies!F27,Bookies!F25)</f>
        <v>8000</v>
      </c>
      <c r="F13" s="142">
        <f>IF(Bookies!G25=0,Bookies!G27,Bookies!G25)</f>
        <v>8000</v>
      </c>
      <c r="G13" s="142">
        <f>IF(Bookies!H25=0,Bookies!H27,Bookies!H25)</f>
        <v>8000</v>
      </c>
      <c r="H13" s="142">
        <f>IF(Bookies!I25=0,Bookies!I27,Bookies!I25)</f>
        <v>8000</v>
      </c>
      <c r="I13" s="142">
        <f>IF(Bookies!J25=0,Bookies!J27,Bookies!J25)</f>
        <v>8000</v>
      </c>
      <c r="J13" s="142">
        <f>IF(Bookies!K25=0,Bookies!K27,Bookies!K25)</f>
        <v>8000</v>
      </c>
      <c r="K13" s="142">
        <f>IF(Bookies!L25=0,Bookies!L27,Bookies!L25)</f>
        <v>8000</v>
      </c>
      <c r="L13" s="142">
        <f>IF(Bookies!M25=0,Bookies!M27,Bookies!M25)</f>
        <v>8000</v>
      </c>
      <c r="M13" s="142">
        <f>IF(Bookies!N25=0,Bookies!N27,Bookies!N25)</f>
        <v>8000</v>
      </c>
      <c r="N13" s="142">
        <f t="shared" si="1"/>
        <v>99871.222135999997</v>
      </c>
    </row>
    <row r="14" spans="1:14" ht="32.25" customHeight="1">
      <c r="A14" s="139" t="s">
        <v>71</v>
      </c>
      <c r="B14" s="140">
        <f>IF(Bookies!C32=0,Bookies!C34,Bookies!C32)</f>
        <v>9408.0530689999996</v>
      </c>
      <c r="C14" s="140">
        <f>IF(Bookies!D32=0,Bookies!D34,Bookies!D32)</f>
        <v>4565.49737</v>
      </c>
      <c r="D14" s="140">
        <f>IF(Bookies!E32=0,Bookies!E34,Bookies!E32)</f>
        <v>14841</v>
      </c>
      <c r="E14" s="140">
        <f>IF(Bookies!F32=0,Bookies!F34,Bookies!F32)</f>
        <v>14500</v>
      </c>
      <c r="F14" s="140">
        <f>IF(Bookies!G32=0,Bookies!G34,Bookies!G32)</f>
        <v>14500</v>
      </c>
      <c r="G14" s="140">
        <f>IF(Bookies!H32=0,Bookies!H34,Bookies!H32)</f>
        <v>15000</v>
      </c>
      <c r="H14" s="140">
        <f>IF(Bookies!I32=0,Bookies!I34,Bookies!I32)</f>
        <v>16500</v>
      </c>
      <c r="I14" s="140">
        <f>IF(Bookies!J32=0,Bookies!J34,Bookies!J32)</f>
        <v>16500</v>
      </c>
      <c r="J14" s="140">
        <f>IF(Bookies!K32=0,Bookies!K34,Bookies!K32)</f>
        <v>20000</v>
      </c>
      <c r="K14" s="140">
        <f>IF(Bookies!L32=0,Bookies!L34,Bookies!L32)</f>
        <v>18500</v>
      </c>
      <c r="L14" s="140">
        <f>IF(Bookies!M32=0,Bookies!M34,Bookies!M32)</f>
        <v>18000</v>
      </c>
      <c r="M14" s="140">
        <f>IF(Bookies!N32=0,Bookies!N34,Bookies!N32)</f>
        <v>18000</v>
      </c>
      <c r="N14" s="140">
        <f t="shared" si="1"/>
        <v>180314.55043900001</v>
      </c>
    </row>
    <row r="15" spans="1:14" ht="32.25" customHeight="1">
      <c r="A15" s="141" t="s">
        <v>72</v>
      </c>
      <c r="B15" s="142">
        <f>IF(Bookies!C39=0,Bookies!C41,Bookies!C39)</f>
        <v>2960.8800350000001</v>
      </c>
      <c r="C15" s="142">
        <f>IF(Bookies!D39=0,Bookies!D41,Bookies!D39)</f>
        <v>687.37602900000002</v>
      </c>
      <c r="D15" s="142">
        <f>IF(Bookies!E39=0,Bookies!E41,Bookies!E39)</f>
        <v>-1533</v>
      </c>
      <c r="E15" s="142">
        <f>IF(Bookies!F39=0,Bookies!F41,Bookies!F39)</f>
        <v>1500</v>
      </c>
      <c r="F15" s="142">
        <f>IF(Bookies!G39=0,Bookies!G41,Bookies!G39)</f>
        <v>1500</v>
      </c>
      <c r="G15" s="142">
        <f>IF(Bookies!H39=0,Bookies!H41,Bookies!H39)</f>
        <v>1500</v>
      </c>
      <c r="H15" s="142">
        <f>IF(Bookies!I39=0,Bookies!I41,Bookies!I39)</f>
        <v>1500</v>
      </c>
      <c r="I15" s="142">
        <f>IF(Bookies!J39=0,Bookies!J41,Bookies!J39)</f>
        <v>1500</v>
      </c>
      <c r="J15" s="142">
        <f>IF(Bookies!K39=0,Bookies!K41,Bookies!K39)</f>
        <v>1500</v>
      </c>
      <c r="K15" s="142">
        <f>IF(Bookies!L39=0,Bookies!L41,Bookies!L39)</f>
        <v>1500</v>
      </c>
      <c r="L15" s="142">
        <f>IF(Bookies!M39=0,Bookies!M41,Bookies!M39)</f>
        <v>1500</v>
      </c>
      <c r="M15" s="142">
        <f>IF(Bookies!N39=0,Bookies!N41,Bookies!N39)</f>
        <v>1500</v>
      </c>
      <c r="N15" s="142">
        <f t="shared" si="1"/>
        <v>15615.256064000001</v>
      </c>
    </row>
    <row r="16" spans="1:14" ht="32.25" customHeight="1">
      <c r="A16" s="139" t="s">
        <v>73</v>
      </c>
      <c r="B16" s="140">
        <f>IF(Bookies!C46=0,Bookies!C48,Bookies!C46)</f>
        <v>1721.441607</v>
      </c>
      <c r="C16" s="140">
        <f>IF(Bookies!D46=0,Bookies!D48,Bookies!D46)</f>
        <v>4112.9450440000001</v>
      </c>
      <c r="D16" s="140">
        <f>IF(Bookies!E46=0,Bookies!E48,Bookies!E46)</f>
        <v>4550</v>
      </c>
      <c r="E16" s="140">
        <f>IF(Bookies!F46=0,Bookies!F48,Bookies!F46)</f>
        <v>7500</v>
      </c>
      <c r="F16" s="140">
        <f>IF(Bookies!G46=0,Bookies!G48,Bookies!G46)</f>
        <v>8000</v>
      </c>
      <c r="G16" s="140">
        <f>IF(Bookies!H46=0,Bookies!H48,Bookies!H46)</f>
        <v>8000</v>
      </c>
      <c r="H16" s="140">
        <f>IF(Bookies!I46=0,Bookies!I48,Bookies!I46)</f>
        <v>8500</v>
      </c>
      <c r="I16" s="140">
        <f>IF(Bookies!J46=0,Bookies!J48,Bookies!J46)</f>
        <v>8500</v>
      </c>
      <c r="J16" s="140">
        <f>IF(Bookies!K46=0,Bookies!K48,Bookies!K46)</f>
        <v>7500</v>
      </c>
      <c r="K16" s="140">
        <f>IF(Bookies!L46=0,Bookies!L48,Bookies!L46)</f>
        <v>10000</v>
      </c>
      <c r="L16" s="140">
        <f>IF(Bookies!M46=0,Bookies!M48,Bookies!M46)</f>
        <v>10000</v>
      </c>
      <c r="M16" s="140">
        <f>IF(Bookies!N46=0,Bookies!N48,Bookies!N46)</f>
        <v>8500</v>
      </c>
      <c r="N16" s="140">
        <f t="shared" si="1"/>
        <v>86884.386651000008</v>
      </c>
    </row>
    <row r="17" spans="1:14" ht="32.25" customHeight="1">
      <c r="A17" s="141" t="s">
        <v>74</v>
      </c>
      <c r="B17" s="142">
        <f>IF(Bookies!C53=0,Bookies!C55,Bookies!C53)</f>
        <v>8337.3098520000003</v>
      </c>
      <c r="C17" s="142">
        <f>IF(Bookies!D53=0,Bookies!D55,Bookies!D53)</f>
        <v>3992.095781</v>
      </c>
      <c r="D17" s="142">
        <f>IF(Bookies!E53=0,Bookies!E55,Bookies!E53)</f>
        <v>1794</v>
      </c>
      <c r="E17" s="142">
        <f>IF(Bookies!F53=0,Bookies!F55,Bookies!F53)</f>
        <v>5500</v>
      </c>
      <c r="F17" s="142">
        <f>IF(Bookies!G53=0,Bookies!G55,Bookies!G53)</f>
        <v>5500</v>
      </c>
      <c r="G17" s="142">
        <f>IF(Bookies!H53=0,Bookies!H55,Bookies!H53)</f>
        <v>5500</v>
      </c>
      <c r="H17" s="142">
        <f>IF(Bookies!I53=0,Bookies!I55,Bookies!I53)</f>
        <v>5500</v>
      </c>
      <c r="I17" s="142">
        <f>IF(Bookies!J53=0,Bookies!J55,Bookies!J53)</f>
        <v>5500</v>
      </c>
      <c r="J17" s="142">
        <f>IF(Bookies!K53=0,Bookies!K55,Bookies!K53)</f>
        <v>5500</v>
      </c>
      <c r="K17" s="142">
        <f>IF(Bookies!L53=0,Bookies!L55,Bookies!L53)</f>
        <v>5500</v>
      </c>
      <c r="L17" s="142">
        <f>IF(Bookies!M53=0,Bookies!M55,Bookies!M53)</f>
        <v>5500</v>
      </c>
      <c r="M17" s="142">
        <f>IF(Bookies!N53=0,Bookies!N55,Bookies!N53)</f>
        <v>5500</v>
      </c>
      <c r="N17" s="142">
        <f t="shared" si="1"/>
        <v>63623.405633000002</v>
      </c>
    </row>
    <row r="18" spans="1:14" ht="32.25" customHeight="1">
      <c r="A18" s="139" t="s">
        <v>75</v>
      </c>
      <c r="B18" s="140">
        <f>IF(Bookies!C60=0,Bookies!C62,Bookies!C60)</f>
        <v>0.64896399999999999</v>
      </c>
      <c r="C18" s="140">
        <f>IF(Bookies!D60=0,Bookies!D62,Bookies!D60)</f>
        <v>0</v>
      </c>
      <c r="D18" s="140">
        <f>IF(Bookies!E60=0,Bookies!E62,Bookies!E60)</f>
        <v>0</v>
      </c>
      <c r="E18" s="140">
        <f>IF(Bookies!F60=0,Bookies!F62,Bookies!F60)</f>
        <v>0</v>
      </c>
      <c r="F18" s="140">
        <f>IF(Bookies!G60=0,Bookies!G62,Bookies!G60)</f>
        <v>0</v>
      </c>
      <c r="G18" s="140">
        <f>IF(Bookies!H60=0,Bookies!H62,Bookies!H60)</f>
        <v>0</v>
      </c>
      <c r="H18" s="140">
        <f>IF(Bookies!I60=0,Bookies!I62,Bookies!I60)</f>
        <v>0</v>
      </c>
      <c r="I18" s="140">
        <f>IF(Bookies!J60=0,Bookies!J62,Bookies!J60)</f>
        <v>0</v>
      </c>
      <c r="J18" s="140">
        <f>IF(Bookies!K60=0,Bookies!K62,Bookies!K60)</f>
        <v>0</v>
      </c>
      <c r="K18" s="140">
        <f>IF(Bookies!L60=0,Bookies!L62,Bookies!L60)</f>
        <v>0</v>
      </c>
      <c r="L18" s="140">
        <f>IF(Bookies!M60=0,Bookies!M62,Bookies!M60)</f>
        <v>0</v>
      </c>
      <c r="M18" s="140">
        <f>IF(Bookies!N60=0,Bookies!N62,Bookies!N60)</f>
        <v>0</v>
      </c>
      <c r="N18" s="140">
        <f t="shared" si="1"/>
        <v>0.64896399999999999</v>
      </c>
    </row>
    <row r="19" spans="1:14" ht="32.25" customHeight="1">
      <c r="A19" s="141" t="s">
        <v>77</v>
      </c>
      <c r="B19" s="142">
        <f>IF(Bookies!C67=0,Bookies!C69,Bookies!C67)</f>
        <v>601.71931600000005</v>
      </c>
      <c r="C19" s="142">
        <f>IF(Bookies!D67=0,Bookies!D69,Bookies!D67)</f>
        <v>224.092915</v>
      </c>
      <c r="D19" s="142">
        <f>IF(Bookies!E67=0,Bookies!E69,Bookies!E67)</f>
        <v>15</v>
      </c>
      <c r="E19" s="142">
        <f>IF(Bookies!F67=0,Bookies!F69,Bookies!F67)</f>
        <v>1500</v>
      </c>
      <c r="F19" s="142">
        <f>IF(Bookies!G67=0,Bookies!G69,Bookies!G67)</f>
        <v>1500</v>
      </c>
      <c r="G19" s="142">
        <f>IF(Bookies!H67=0,Bookies!H69,Bookies!H67)</f>
        <v>1500</v>
      </c>
      <c r="H19" s="142">
        <f>IF(Bookies!I67=0,Bookies!I69,Bookies!I67)</f>
        <v>1500</v>
      </c>
      <c r="I19" s="142">
        <f>IF(Bookies!J67=0,Bookies!J69,Bookies!J67)</f>
        <v>1500</v>
      </c>
      <c r="J19" s="142">
        <f>IF(Bookies!K67=0,Bookies!K69,Bookies!K67)</f>
        <v>1500</v>
      </c>
      <c r="K19" s="142">
        <f>IF(Bookies!L67=0,Bookies!L69,Bookies!L67)</f>
        <v>1500</v>
      </c>
      <c r="L19" s="142">
        <f>IF(Bookies!M67=0,Bookies!M69,Bookies!M67)</f>
        <v>1500</v>
      </c>
      <c r="M19" s="142">
        <f>IF(Bookies!N67=0,Bookies!N69,Bookies!N67)</f>
        <v>1500</v>
      </c>
      <c r="N19" s="142">
        <f t="shared" si="1"/>
        <v>14340.812231</v>
      </c>
    </row>
    <row r="20" spans="1:14" ht="32.25" customHeight="1">
      <c r="A20" s="139" t="s">
        <v>78</v>
      </c>
      <c r="B20" s="147">
        <f>IF(Bookies!C74=0,Bookies!C76,Bookies!C74)</f>
        <v>111.69258499999999</v>
      </c>
      <c r="C20" s="147">
        <f>IF(Bookies!D74=0,Bookies!D76,Bookies!D74)</f>
        <v>260.21517899999998</v>
      </c>
      <c r="D20" s="147">
        <f>IF(Bookies!E74=0,Bookies!E76,Bookies!E74)</f>
        <v>-77</v>
      </c>
      <c r="E20" s="147">
        <f>IF(Bookies!F74=0,Bookies!F76,Bookies!F74)</f>
        <v>100</v>
      </c>
      <c r="F20" s="147">
        <f>IF(Bookies!G74=0,Bookies!G76,Bookies!G74)</f>
        <v>100</v>
      </c>
      <c r="G20" s="147">
        <f>IF(Bookies!H74=0,Bookies!H76,Bookies!H74)</f>
        <v>100</v>
      </c>
      <c r="H20" s="147">
        <f>IF(Bookies!I74=0,Bookies!I76,Bookies!I74)</f>
        <v>100</v>
      </c>
      <c r="I20" s="147">
        <f>IF(Bookies!J74=0,Bookies!J76,Bookies!J74)</f>
        <v>100</v>
      </c>
      <c r="J20" s="147">
        <f>IF(Bookies!K74=0,Bookies!K76,Bookies!K74)</f>
        <v>100</v>
      </c>
      <c r="K20" s="147">
        <f>IF(Bookies!L74=0,Bookies!L76,Bookies!L74)</f>
        <v>100</v>
      </c>
      <c r="L20" s="147">
        <f>IF(Bookies!M74=0,Bookies!M76,Bookies!M74)</f>
        <v>100</v>
      </c>
      <c r="M20" s="147">
        <f>IF(Bookies!N74=0,Bookies!N76,Bookies!N74)</f>
        <v>100</v>
      </c>
      <c r="N20" s="147">
        <f t="shared" si="1"/>
        <v>1194.907764</v>
      </c>
    </row>
    <row r="21" spans="1:14" ht="32.25" customHeight="1">
      <c r="A21" s="148" t="s">
        <v>80</v>
      </c>
      <c r="B21" s="149">
        <f>IF(Bookies!C81=0,Bookies!C83,Bookies!C81)</f>
        <v>167.97545299999999</v>
      </c>
      <c r="C21" s="149">
        <f>IF(Bookies!D81=0,Bookies!D83,Bookies!D81)</f>
        <v>546</v>
      </c>
      <c r="D21" s="149">
        <f>IF(Bookies!E81=0,Bookies!E83,Bookies!E81)</f>
        <v>651</v>
      </c>
      <c r="E21" s="149">
        <f>IF(Bookies!F81=0,Bookies!F83,Bookies!F81)</f>
        <v>100</v>
      </c>
      <c r="F21" s="149">
        <f>IF(Bookies!G81=0,Bookies!G83,Bookies!G81)</f>
        <v>100</v>
      </c>
      <c r="G21" s="149">
        <f>IF(Bookies!H81=0,Bookies!H83,Bookies!H81)</f>
        <v>100</v>
      </c>
      <c r="H21" s="149">
        <f>IF(Bookies!I81=0,Bookies!I83,Bookies!I81)</f>
        <v>100</v>
      </c>
      <c r="I21" s="149">
        <f>IF(Bookies!J81=0,Bookies!J83,Bookies!J81)</f>
        <v>100</v>
      </c>
      <c r="J21" s="149">
        <f>IF(Bookies!K81=0,Bookies!K83,Bookies!K81)</f>
        <v>100</v>
      </c>
      <c r="K21" s="149">
        <f>IF(Bookies!L81=0,Bookies!L83,Bookies!L81)</f>
        <v>100</v>
      </c>
      <c r="L21" s="149">
        <f>IF(Bookies!M81=0,Bookies!M83,Bookies!M81)</f>
        <v>100</v>
      </c>
      <c r="M21" s="149">
        <f>IF(Bookies!N81=0,Bookies!N83,Bookies!N81)</f>
        <v>100</v>
      </c>
      <c r="N21" s="149">
        <f>SUM(B21:M21)</f>
        <v>2264.975453</v>
      </c>
    </row>
    <row r="22" spans="1:14" ht="32.25" customHeight="1">
      <c r="A22" s="143" t="s">
        <v>81</v>
      </c>
      <c r="B22" s="144">
        <f>IF(Bookies!C88=0,Bookies!C90,Bookies!C88)</f>
        <v>100</v>
      </c>
      <c r="C22" s="144">
        <f>IF(Bookies!D88=0,Bookies!D90,Bookies!D88)</f>
        <v>5.7975459999999996</v>
      </c>
      <c r="D22" s="144">
        <f>IF(Bookies!E88=0,Bookies!E90,Bookies!E88)</f>
        <v>289</v>
      </c>
      <c r="E22" s="144">
        <f>IF(Bookies!F88=0,Bookies!F90,Bookies!F88)</f>
        <v>500</v>
      </c>
      <c r="F22" s="144">
        <f>IF(Bookies!G88=0,Bookies!G90,Bookies!G88)</f>
        <v>500</v>
      </c>
      <c r="G22" s="144">
        <f>IF(Bookies!H88=0,Bookies!H90,Bookies!H88)</f>
        <v>500</v>
      </c>
      <c r="H22" s="144">
        <f>IF(Bookies!I88=0,Bookies!I90,Bookies!I88)</f>
        <v>1000</v>
      </c>
      <c r="I22" s="144">
        <f>IF(Bookies!J88=0,Bookies!J90,Bookies!J88)</f>
        <v>1000</v>
      </c>
      <c r="J22" s="144">
        <f>IF(Bookies!K88=0,Bookies!K90,Bookies!K88)</f>
        <v>1000</v>
      </c>
      <c r="K22" s="144">
        <f>IF(Bookies!L88=0,Bookies!L90,Bookies!L88)</f>
        <v>1000</v>
      </c>
      <c r="L22" s="144">
        <f>IF(Bookies!M88=0,Bookies!M90,Bookies!M88)</f>
        <v>1000</v>
      </c>
      <c r="M22" s="144">
        <f>IF(Bookies!N88=0,Bookies!N90,Bookies!N88)</f>
        <v>1000</v>
      </c>
      <c r="N22" s="144">
        <f>SUM(B22:M22)</f>
        <v>7894.7975459999998</v>
      </c>
    </row>
    <row r="23" spans="1:14" ht="32.25" customHeight="1">
      <c r="A23" s="148" t="s">
        <v>82</v>
      </c>
      <c r="B23" s="150">
        <f>IF(Bookies!C95=0,Bookies!C97,Bookies!C95)</f>
        <v>-13263.988921</v>
      </c>
      <c r="C23" s="150">
        <f>IF(Bookies!D95=0,Bookies!D97,Bookies!D95)</f>
        <v>17347.597707000001</v>
      </c>
      <c r="D23" s="150">
        <f>IF(Bookies!E95=0,Bookies!E97,Bookies!E95)</f>
        <v>14186</v>
      </c>
      <c r="E23" s="150">
        <f>IF(Bookies!F95=0,Bookies!F97,Bookies!F95)</f>
        <v>12500</v>
      </c>
      <c r="F23" s="150">
        <f>IF(Bookies!G95=0,Bookies!G97,Bookies!G95)</f>
        <v>12500</v>
      </c>
      <c r="G23" s="150">
        <f>IF(Bookies!H95=0,Bookies!H97,Bookies!H95)</f>
        <v>12500</v>
      </c>
      <c r="H23" s="150">
        <f>IF(Bookies!I95=0,Bookies!I97,Bookies!I95)</f>
        <v>12500</v>
      </c>
      <c r="I23" s="150">
        <f>IF(Bookies!J95=0,Bookies!J97,Bookies!J95)</f>
        <v>12500</v>
      </c>
      <c r="J23" s="150">
        <f>IF(Bookies!K95=0,Bookies!K97,Bookies!K95)</f>
        <v>12500</v>
      </c>
      <c r="K23" s="150">
        <f>IF(Bookies!L95=0,Bookies!L97,Bookies!L95)</f>
        <v>12500</v>
      </c>
      <c r="L23" s="150">
        <f>IF(Bookies!M95=0,Bookies!M97,Bookies!M95)</f>
        <v>12500</v>
      </c>
      <c r="M23" s="150">
        <f>IF(Bookies!N95=0,Bookies!N97,Bookies!N95)</f>
        <v>12500</v>
      </c>
      <c r="N23" s="150">
        <f>SUM(B23:M23)</f>
        <v>130769.608786</v>
      </c>
    </row>
    <row r="24" spans="1:14" ht="32.25" customHeight="1">
      <c r="A24" s="156" t="s">
        <v>83</v>
      </c>
      <c r="B24" s="144">
        <f>IF(Bookies!C102=0,Bookies!C104,Bookies!C102)</f>
        <v>0</v>
      </c>
      <c r="C24" s="144">
        <f>IF(Bookies!D102=0,Bookies!D104,Bookies!D102)</f>
        <v>1498</v>
      </c>
      <c r="D24" s="144">
        <f>IF(Bookies!E102=0,Bookies!E104,Bookies!E102)</f>
        <v>5273</v>
      </c>
      <c r="E24" s="144">
        <f>IF(Bookies!F102=0,Bookies!F104,Bookies!F102)</f>
        <v>7382</v>
      </c>
      <c r="F24" s="144">
        <f>IF(Bookies!G102=0,Bookies!G104,Bookies!G102)</f>
        <v>8859</v>
      </c>
      <c r="G24" s="144">
        <f>IF(Bookies!H102=0,Bookies!H104,Bookies!H102)</f>
        <v>10631</v>
      </c>
      <c r="H24" s="144">
        <f>IF(Bookies!I102=0,Bookies!I104,Bookies!I102)</f>
        <v>11694</v>
      </c>
      <c r="I24" s="144">
        <f>IF(Bookies!J102=0,Bookies!J104,Bookies!J102)</f>
        <v>14032</v>
      </c>
      <c r="J24" s="144">
        <f>IF(Bookies!K102=0,Bookies!K104,Bookies!K102)</f>
        <v>16839</v>
      </c>
      <c r="K24" s="144">
        <f>IF(Bookies!L102=0,Bookies!L104,Bookies!L102)</f>
        <v>20207</v>
      </c>
      <c r="L24" s="144">
        <f>IF(Bookies!M102=0,Bookies!M104,Bookies!M102)</f>
        <v>24248</v>
      </c>
      <c r="M24" s="144">
        <f>IF(Bookies!N102=0,Bookies!N104,Bookies!N102)</f>
        <v>29097</v>
      </c>
      <c r="N24" s="144">
        <f>IF(Bookies!O102=0,Bookies!O104,Bookies!O102)</f>
        <v>6771</v>
      </c>
    </row>
    <row r="25" spans="1:14" ht="32.25" customHeight="1">
      <c r="A25" s="145" t="s">
        <v>188</v>
      </c>
      <c r="B25" s="146">
        <f>SUM(B10:B24)</f>
        <v>227234.04204</v>
      </c>
      <c r="C25" s="146">
        <f>SUM(C10:C24)</f>
        <v>247177.11025399997</v>
      </c>
      <c r="D25" s="146">
        <f>SUM(D10:D24)</f>
        <v>65964</v>
      </c>
      <c r="E25" s="146">
        <f>SUM(E10:E24)</f>
        <v>277582</v>
      </c>
      <c r="F25" s="146">
        <f>SUM(F10:F24)</f>
        <v>278059</v>
      </c>
      <c r="G25" s="146">
        <f>SUM(G10:G24)</f>
        <v>281831</v>
      </c>
      <c r="H25" s="146">
        <f>SUM(H10:H24)</f>
        <v>323894</v>
      </c>
      <c r="I25" s="146">
        <f>SUM(I10:I24)</f>
        <v>403232</v>
      </c>
      <c r="J25" s="146">
        <f>SUM(J10:J24)</f>
        <v>445539</v>
      </c>
      <c r="K25" s="146">
        <f>SUM(K10:K24)</f>
        <v>393907</v>
      </c>
      <c r="L25" s="146">
        <f>SUM(L10:L24)</f>
        <v>397448</v>
      </c>
      <c r="M25" s="146">
        <f>SUM(M10:M24)</f>
        <v>400797</v>
      </c>
      <c r="N25" s="146">
        <f t="shared" si="1"/>
        <v>3742664.1522939997</v>
      </c>
    </row>
    <row r="26" spans="1:14" ht="32.25" customHeight="1">
      <c r="A26" s="37" t="s">
        <v>85</v>
      </c>
      <c r="B26" s="138" t="str">
        <f>IF(Partnerships!C4=0,"FORECAST","ACTUAL")</f>
        <v>ACTUAL</v>
      </c>
      <c r="C26" s="138" t="str">
        <f>IF(Partnerships!D4=0,"FORECAST","ACTUAL")</f>
        <v>ACTUAL</v>
      </c>
      <c r="D26" s="138" t="str">
        <f>IF(Partnerships!E4=0,"FORECAST","ACTUAL")</f>
        <v>ACTUAL</v>
      </c>
      <c r="E26" s="138" t="str">
        <f>IF(Partnerships!F4=0,"FORECAST","ACTUAL")</f>
        <v>FORECAST</v>
      </c>
      <c r="F26" s="138" t="str">
        <f>IF(Partnerships!G4=0,"FORECAST","ACTUAL")</f>
        <v>FORECAST</v>
      </c>
      <c r="G26" s="138" t="str">
        <f>IF(Partnerships!H4=0,"FORECAST","ACTUAL")</f>
        <v>FORECAST</v>
      </c>
      <c r="H26" s="138" t="str">
        <f>IF(Partnerships!I4=0,"FORECAST","ACTUAL")</f>
        <v>FORECAST</v>
      </c>
      <c r="I26" s="138" t="str">
        <f>IF(Partnerships!J4=0,"FORECAST","ACTUAL")</f>
        <v>FORECAST</v>
      </c>
      <c r="J26" s="138" t="str">
        <f>IF(Partnerships!K4=0,"FORECAST","ACTUAL")</f>
        <v>FORECAST</v>
      </c>
      <c r="K26" s="138" t="str">
        <f>IF(Partnerships!L4=0,"FORECAST","ACTUAL")</f>
        <v>FORECAST</v>
      </c>
      <c r="L26" s="138" t="str">
        <f>IF(Partnerships!M4=0,"FORECAST","ACTUAL")</f>
        <v>FORECAST</v>
      </c>
      <c r="M26" s="138" t="str">
        <f>IF(Partnerships!N4=0,"FORECAST","ACTUAL")</f>
        <v>FORECAST</v>
      </c>
      <c r="N26" s="37"/>
    </row>
    <row r="27" spans="1:14" ht="32.25" customHeight="1">
      <c r="A27" s="139" t="s">
        <v>87</v>
      </c>
      <c r="B27" s="140">
        <f>IF(Partnerships!C4=0,Partnerships!C6,Partnerships!C4)</f>
        <v>618795.87901300006</v>
      </c>
      <c r="C27" s="140">
        <f>IF(Partnerships!D4=0,Partnerships!D6,Partnerships!D4)</f>
        <v>746747.74987299996</v>
      </c>
      <c r="D27" s="140">
        <f>IF(Partnerships!E4=0,Partnerships!E6,Partnerships!E4)</f>
        <v>496449.57910500001</v>
      </c>
      <c r="E27" s="140">
        <f>IF(Partnerships!F4=0,Partnerships!F6,Partnerships!F4)</f>
        <v>350000</v>
      </c>
      <c r="F27" s="140">
        <f>IF(Partnerships!G4=0,Partnerships!G6,Partnerships!G4)</f>
        <v>300000</v>
      </c>
      <c r="G27" s="140">
        <f>IF(Partnerships!H4=0,Partnerships!H6,Partnerships!H4)</f>
        <v>300000</v>
      </c>
      <c r="H27" s="140">
        <f>IF(Partnerships!I4=0,Partnerships!I6,Partnerships!I4)</f>
        <v>300000</v>
      </c>
      <c r="I27" s="140">
        <f>IF(Partnerships!J4=0,Partnerships!J6,Partnerships!J4)</f>
        <v>400000</v>
      </c>
      <c r="J27" s="140">
        <f>IF(Partnerships!K4=0,Partnerships!K6,Partnerships!K4)</f>
        <v>600000</v>
      </c>
      <c r="K27" s="140">
        <f>IF(Partnerships!L4=0,Partnerships!L6,Partnerships!L4)</f>
        <v>500000</v>
      </c>
      <c r="L27" s="140">
        <f>IF(Partnerships!M4=0,Partnerships!M6,Partnerships!M4)</f>
        <v>500000</v>
      </c>
      <c r="M27" s="140">
        <f>IF(Partnerships!N4=0,Partnerships!N6,Partnerships!N4)</f>
        <v>500000</v>
      </c>
      <c r="N27" s="140">
        <f>SUM(B27:M27)</f>
        <v>5611993.2079910003</v>
      </c>
    </row>
    <row r="28" spans="1:14" ht="32.25" customHeight="1">
      <c r="A28" s="145" t="s">
        <v>189</v>
      </c>
      <c r="B28" s="146">
        <f t="shared" ref="B28:M28" si="2">SUM(B27:B27)</f>
        <v>618795.87901300006</v>
      </c>
      <c r="C28" s="146">
        <f t="shared" si="2"/>
        <v>746747.74987299996</v>
      </c>
      <c r="D28" s="146">
        <f t="shared" si="2"/>
        <v>496449.57910500001</v>
      </c>
      <c r="E28" s="146">
        <f t="shared" si="2"/>
        <v>350000</v>
      </c>
      <c r="F28" s="146">
        <f t="shared" si="2"/>
        <v>300000</v>
      </c>
      <c r="G28" s="146">
        <f t="shared" si="2"/>
        <v>300000</v>
      </c>
      <c r="H28" s="146">
        <f t="shared" si="2"/>
        <v>300000</v>
      </c>
      <c r="I28" s="146">
        <f t="shared" si="2"/>
        <v>400000</v>
      </c>
      <c r="J28" s="146">
        <f t="shared" si="2"/>
        <v>600000</v>
      </c>
      <c r="K28" s="146">
        <f t="shared" si="2"/>
        <v>500000</v>
      </c>
      <c r="L28" s="146">
        <f t="shared" si="2"/>
        <v>500000</v>
      </c>
      <c r="M28" s="146">
        <f t="shared" si="2"/>
        <v>500000</v>
      </c>
      <c r="N28" s="146">
        <f>SUM(B28:M28)</f>
        <v>5611993.2079910003</v>
      </c>
    </row>
    <row r="29" spans="1:14" ht="32.25" customHeight="1">
      <c r="A29" s="37" t="s">
        <v>89</v>
      </c>
      <c r="B29" s="138" t="str">
        <f>IF(Local!C4=0,"FORECAST","ACTUAL")</f>
        <v>ACTUAL</v>
      </c>
      <c r="C29" s="138" t="str">
        <f>IF(Local!D4=0,"FORECAST","ACTUAL")</f>
        <v>ACTUAL</v>
      </c>
      <c r="D29" s="138" t="str">
        <f>IF(Local!E4=0,"FORECAST","ACTUAL")</f>
        <v>ACTUAL</v>
      </c>
      <c r="E29" s="138" t="str">
        <f>IF(Local!F4=0,"FORECAST","ACTUAL")</f>
        <v>FORECAST</v>
      </c>
      <c r="F29" s="138" t="str">
        <f>IF(Local!G4=0,"FORECAST","ACTUAL")</f>
        <v>FORECAST</v>
      </c>
      <c r="G29" s="138" t="str">
        <f>IF(Local!H4=0,"FORECAST","ACTUAL")</f>
        <v>FORECAST</v>
      </c>
      <c r="H29" s="138" t="str">
        <f>IF(Local!I4=0,"FORECAST","ACTUAL")</f>
        <v>FORECAST</v>
      </c>
      <c r="I29" s="138" t="str">
        <f>IF(Local!J4=0,"FORECAST","ACTUAL")</f>
        <v>FORECAST</v>
      </c>
      <c r="J29" s="138" t="str">
        <f>IF(Local!K4=0,"FORECAST","ACTUAL")</f>
        <v>FORECAST</v>
      </c>
      <c r="K29" s="138" t="str">
        <f>IF(Local!L4=0,"FORECAST","ACTUAL")</f>
        <v>FORECAST</v>
      </c>
      <c r="L29" s="138" t="str">
        <f>IF(Local!M4=0,"FORECAST","ACTUAL")</f>
        <v>FORECAST</v>
      </c>
      <c r="M29" s="138" t="str">
        <f>IF(Local!N4=0,"FORECAST","ACTUAL")</f>
        <v>FORECAST</v>
      </c>
      <c r="N29" s="37"/>
    </row>
    <row r="30" spans="1:14" ht="32.25" customHeight="1">
      <c r="A30" s="139" t="s">
        <v>91</v>
      </c>
      <c r="B30" s="140">
        <f>IF(Local!C4=0,Local!C6,Local!C4)</f>
        <v>13350.067192</v>
      </c>
      <c r="C30" s="140">
        <f>IF(Local!D4=0,Local!D6,Local!D4)</f>
        <v>8927.3897469999993</v>
      </c>
      <c r="D30" s="140">
        <f>IF(Local!E4=0,Local!E6,Local!E4)</f>
        <v>15835.691838000001</v>
      </c>
      <c r="E30" s="140">
        <f>IF(Local!F4=0,Local!F6,Local!F4)</f>
        <v>5000</v>
      </c>
      <c r="F30" s="140">
        <f>IF(Local!G4=0,Local!G6,Local!G4)</f>
        <v>3000</v>
      </c>
      <c r="G30" s="140">
        <f>IF(Local!H4=0,Local!H6,Local!H4)</f>
        <v>3000</v>
      </c>
      <c r="H30" s="140">
        <f>IF(Local!I4=0,Local!I6,Local!I4)</f>
        <v>3000</v>
      </c>
      <c r="I30" s="140">
        <f>IF(Local!J4=0,Local!J6,Local!J4)</f>
        <v>5000</v>
      </c>
      <c r="J30" s="140">
        <f>IF(Local!K4=0,Local!K6,Local!K4)</f>
        <v>20000</v>
      </c>
      <c r="K30" s="140">
        <f>IF(Local!L4=0,Local!L6,Local!L4)</f>
        <v>15000</v>
      </c>
      <c r="L30" s="140">
        <f>IF(Local!M4=0,Local!M6,Local!M4)</f>
        <v>15000</v>
      </c>
      <c r="M30" s="140">
        <f>IF(Local!N4=0,Local!N6,Local!N4)</f>
        <v>15000</v>
      </c>
      <c r="N30" s="140">
        <f t="shared" ref="N30:N57" si="3">SUM(B30:M30)</f>
        <v>122113.14877699999</v>
      </c>
    </row>
    <row r="31" spans="1:14" ht="32.25" customHeight="1">
      <c r="A31" s="141" t="s">
        <v>92</v>
      </c>
      <c r="B31" s="142">
        <f>IF(Local!C11=0,Local!C13,Local!C11)</f>
        <v>10130.180700999999</v>
      </c>
      <c r="C31" s="142">
        <f>IF(Local!D11=0,Local!D13,Local!D11)</f>
        <v>2170.7609940000002</v>
      </c>
      <c r="D31" s="142">
        <f>IF(Local!E11=0,Local!E13,Local!E11)</f>
        <v>4496.6503309999998</v>
      </c>
      <c r="E31" s="142">
        <f>IF(Local!F11=0,Local!F13,Local!F11)</f>
        <v>8000</v>
      </c>
      <c r="F31" s="142">
        <f>IF(Local!G11=0,Local!G13,Local!G11)</f>
        <v>3000</v>
      </c>
      <c r="G31" s="142">
        <f>IF(Local!H11=0,Local!H13,Local!H11)</f>
        <v>3000</v>
      </c>
      <c r="H31" s="142">
        <f>IF(Local!I11=0,Local!I13,Local!I11)</f>
        <v>3000</v>
      </c>
      <c r="I31" s="142">
        <f>IF(Local!J11=0,Local!J13,Local!J11)</f>
        <v>5000</v>
      </c>
      <c r="J31" s="142">
        <f>IF(Local!K11=0,Local!K13,Local!K11)</f>
        <v>10000</v>
      </c>
      <c r="K31" s="142">
        <f>IF(Local!L11=0,Local!L13,Local!L11)</f>
        <v>8000</v>
      </c>
      <c r="L31" s="142">
        <f>IF(Local!M11=0,Local!M13,Local!M11)</f>
        <v>8000</v>
      </c>
      <c r="M31" s="142">
        <f>IF(Local!N11=0,Local!N13,Local!N11)</f>
        <v>10000</v>
      </c>
      <c r="N31" s="142">
        <f t="shared" si="3"/>
        <v>74797.592025999998</v>
      </c>
    </row>
    <row r="32" spans="1:14" ht="32.25" customHeight="1">
      <c r="A32" s="139" t="s">
        <v>93</v>
      </c>
      <c r="B32" s="140">
        <f>IF(Local!C18=0,Local!C20,Local!C18)</f>
        <v>-9.9838179999999994</v>
      </c>
      <c r="C32" s="140">
        <f>IF(Local!D18=0,Local!D20,Local!D18)</f>
        <v>14220.312282000001</v>
      </c>
      <c r="D32" s="140">
        <f>IF(Local!E18=0,Local!E20,Local!E18)</f>
        <v>9727.5139679999993</v>
      </c>
      <c r="E32" s="140">
        <f>IF(Local!F18=0,Local!F20,Local!F18)</f>
        <v>2000</v>
      </c>
      <c r="F32" s="140">
        <f>IF(Local!G18=0,Local!G20,Local!G18)</f>
        <v>1000</v>
      </c>
      <c r="G32" s="140">
        <f>IF(Local!H18=0,Local!H20,Local!H18)</f>
        <v>1000</v>
      </c>
      <c r="H32" s="140">
        <f>IF(Local!I18=0,Local!I20,Local!I18)</f>
        <v>1000</v>
      </c>
      <c r="I32" s="140">
        <f>IF(Local!J18=0,Local!J20,Local!J18)</f>
        <v>5000</v>
      </c>
      <c r="J32" s="140">
        <f>IF(Local!K18=0,Local!K20,Local!K18)</f>
        <v>15000</v>
      </c>
      <c r="K32" s="140">
        <f>IF(Local!L18=0,Local!L20,Local!L18)</f>
        <v>10000</v>
      </c>
      <c r="L32" s="140">
        <f>IF(Local!M18=0,Local!M20,Local!M18)</f>
        <v>10000</v>
      </c>
      <c r="M32" s="140">
        <f>IF(Local!N18=0,Local!N20,Local!N18)</f>
        <v>15000</v>
      </c>
      <c r="N32" s="140">
        <f t="shared" si="3"/>
        <v>83937.842432000005</v>
      </c>
    </row>
    <row r="33" spans="1:14" ht="32.25" customHeight="1">
      <c r="A33" s="141" t="s">
        <v>94</v>
      </c>
      <c r="B33" s="142">
        <f>IF(Local!C25=0,Local!C27,Local!C25)</f>
        <v>4945.2444770000002</v>
      </c>
      <c r="C33" s="142">
        <f>IF(Local!D25=0,Local!D27,Local!D25)</f>
        <v>2880.0742519999999</v>
      </c>
      <c r="D33" s="142">
        <f>IF(Local!E25=0,Local!E27,Local!E25)</f>
        <v>8564.9447789999995</v>
      </c>
      <c r="E33" s="142">
        <f>IF(Local!F25=0,Local!F27,Local!F25)</f>
        <v>2000</v>
      </c>
      <c r="F33" s="142">
        <f>IF(Local!G25=0,Local!G27,Local!G25)</f>
        <v>1000</v>
      </c>
      <c r="G33" s="142">
        <f>IF(Local!H25=0,Local!H27,Local!H25)</f>
        <v>1000</v>
      </c>
      <c r="H33" s="142">
        <f>IF(Local!I25=0,Local!I27,Local!I25)</f>
        <v>1000</v>
      </c>
      <c r="I33" s="142">
        <f>IF(Local!J25=0,Local!J27,Local!J25)</f>
        <v>3000</v>
      </c>
      <c r="J33" s="142">
        <f>IF(Local!K25=0,Local!K27,Local!K25)</f>
        <v>10000</v>
      </c>
      <c r="K33" s="142">
        <f>IF(Local!L25=0,Local!L27,Local!L25)</f>
        <v>8000</v>
      </c>
      <c r="L33" s="142">
        <f>IF(Local!M25=0,Local!M27,Local!M25)</f>
        <v>8000</v>
      </c>
      <c r="M33" s="142">
        <f>IF(Local!N25=0,Local!N27,Local!N25)</f>
        <v>10000</v>
      </c>
      <c r="N33" s="142">
        <f t="shared" si="3"/>
        <v>60390.263508000004</v>
      </c>
    </row>
    <row r="34" spans="1:14" ht="32.25" customHeight="1">
      <c r="A34" s="139" t="s">
        <v>95</v>
      </c>
      <c r="B34" s="140">
        <f>IF(Local!C32=0,Local!C34,Local!C32)</f>
        <v>2176.9329889999999</v>
      </c>
      <c r="C34" s="140">
        <f>IF(Local!D32=0,Local!D34,Local!D32)</f>
        <v>1425.0821780000001</v>
      </c>
      <c r="D34" s="140">
        <f>IF(Local!E32=0,Local!E34,Local!E32)</f>
        <v>3628.2568569999999</v>
      </c>
      <c r="E34" s="140">
        <f>IF(Local!F32=0,Local!F34,Local!F32)</f>
        <v>2000</v>
      </c>
      <c r="F34" s="140">
        <f>IF(Local!G32=0,Local!G34,Local!G32)</f>
        <v>1000</v>
      </c>
      <c r="G34" s="140">
        <f>IF(Local!H32=0,Local!H34,Local!H32)</f>
        <v>1000</v>
      </c>
      <c r="H34" s="140">
        <f>IF(Local!I32=0,Local!I34,Local!I32)</f>
        <v>1000</v>
      </c>
      <c r="I34" s="140">
        <f>IF(Local!J32=0,Local!J34,Local!J32)</f>
        <v>3000</v>
      </c>
      <c r="J34" s="140">
        <f>IF(Local!K32=0,Local!K34,Local!K32)</f>
        <v>5000</v>
      </c>
      <c r="K34" s="140">
        <f>IF(Local!L32=0,Local!L34,Local!L32)</f>
        <v>4000</v>
      </c>
      <c r="L34" s="140">
        <f>IF(Local!M32=0,Local!M34,Local!M32)</f>
        <v>4000</v>
      </c>
      <c r="M34" s="140">
        <f>IF(Local!N32=0,Local!N34,Local!N32)</f>
        <v>5000</v>
      </c>
      <c r="N34" s="140">
        <f t="shared" si="3"/>
        <v>33230.272023999998</v>
      </c>
    </row>
    <row r="35" spans="1:14" ht="32.25" customHeight="1">
      <c r="A35" s="141" t="s">
        <v>96</v>
      </c>
      <c r="B35" s="142">
        <f>IF(Local!C39=0,Local!C41,Local!C39)</f>
        <v>7974.6973989999997</v>
      </c>
      <c r="C35" s="142">
        <f>IF(Local!D39=0,Local!D41,Local!D39)</f>
        <v>6956.5643730000002</v>
      </c>
      <c r="D35" s="142">
        <f>IF(Local!E39=0,Local!E41,Local!E39)</f>
        <v>2045.0664320000001</v>
      </c>
      <c r="E35" s="142">
        <f>IF(Local!F39=0,Local!F41,Local!F39)</f>
        <v>8000</v>
      </c>
      <c r="F35" s="142">
        <f>IF(Local!G39=0,Local!G41,Local!G39)</f>
        <v>3000</v>
      </c>
      <c r="G35" s="142">
        <f>IF(Local!H39=0,Local!H41,Local!H39)</f>
        <v>3000</v>
      </c>
      <c r="H35" s="142">
        <f>IF(Local!I39=0,Local!I41,Local!I39)</f>
        <v>3000</v>
      </c>
      <c r="I35" s="142">
        <f>IF(Local!J39=0,Local!J41,Local!J39)</f>
        <v>5000</v>
      </c>
      <c r="J35" s="142">
        <f>IF(Local!K39=0,Local!K41,Local!K39)</f>
        <v>10000</v>
      </c>
      <c r="K35" s="142">
        <f>IF(Local!L39=0,Local!L41,Local!L39)</f>
        <v>8000</v>
      </c>
      <c r="L35" s="142">
        <f>IF(Local!M39=0,Local!M41,Local!M39)</f>
        <v>8000</v>
      </c>
      <c r="M35" s="142">
        <f>IF(Local!N39=0,Local!N41,Local!N39)</f>
        <v>10000</v>
      </c>
      <c r="N35" s="142">
        <f t="shared" si="3"/>
        <v>74976.328204000005</v>
      </c>
    </row>
    <row r="36" spans="1:14" ht="32.25" customHeight="1">
      <c r="A36" s="139" t="s">
        <v>97</v>
      </c>
      <c r="B36" s="140">
        <f>IF(Local!C46=0,Local!C48,Local!C46)</f>
        <v>1911.8060399999999</v>
      </c>
      <c r="C36" s="140">
        <f>IF(Local!D46=0,Local!D48,Local!D46)</f>
        <v>-363.29582299999998</v>
      </c>
      <c r="D36" s="140">
        <f>IF(Local!E46=0,Local!E48,Local!E46)</f>
        <v>2161.5844950000001</v>
      </c>
      <c r="E36" s="140">
        <f>IF(Local!F46=0,Local!F48,Local!F46)</f>
        <v>2000</v>
      </c>
      <c r="F36" s="140">
        <f>IF(Local!G46=0,Local!G48,Local!G46)</f>
        <v>1000</v>
      </c>
      <c r="G36" s="140">
        <f>IF(Local!H46=0,Local!H48,Local!H46)</f>
        <v>1000</v>
      </c>
      <c r="H36" s="140">
        <f>IF(Local!I46=0,Local!I48,Local!I46)</f>
        <v>1000</v>
      </c>
      <c r="I36" s="140">
        <f>IF(Local!J46=0,Local!J48,Local!J46)</f>
        <v>3000</v>
      </c>
      <c r="J36" s="140">
        <f>IF(Local!K46=0,Local!K48,Local!K46)</f>
        <v>5000</v>
      </c>
      <c r="K36" s="140">
        <f>IF(Local!L46=0,Local!L48,Local!L46)</f>
        <v>4000</v>
      </c>
      <c r="L36" s="140">
        <f>IF(Local!M46=0,Local!M48,Local!M46)</f>
        <v>4000</v>
      </c>
      <c r="M36" s="140">
        <f>IF(Local!N46=0,Local!N48,Local!N46)</f>
        <v>5000</v>
      </c>
      <c r="N36" s="140">
        <f t="shared" si="3"/>
        <v>29710.094711999998</v>
      </c>
    </row>
    <row r="37" spans="1:14" ht="32.25" customHeight="1">
      <c r="A37" s="141" t="s">
        <v>98</v>
      </c>
      <c r="B37" s="142">
        <f>IF(Local!C53=0,Local!C55,Local!C53)</f>
        <v>-376.130584</v>
      </c>
      <c r="C37" s="142">
        <f>IF(Local!D53=0,Local!D55,Local!D53)</f>
        <v>-1212.1452959999999</v>
      </c>
      <c r="D37" s="142">
        <f>IF(Local!E53=0,Local!E55,Local!E53)</f>
        <v>1384.8505680000001</v>
      </c>
      <c r="E37" s="142">
        <f>IF(Local!F53=0,Local!F55,Local!F53)</f>
        <v>1000</v>
      </c>
      <c r="F37" s="142">
        <f>IF(Local!G53=0,Local!G55,Local!G53)</f>
        <v>1000</v>
      </c>
      <c r="G37" s="142">
        <f>IF(Local!H53=0,Local!H55,Local!H53)</f>
        <v>1000</v>
      </c>
      <c r="H37" s="142">
        <f>IF(Local!I53=0,Local!I55,Local!I53)</f>
        <v>1000</v>
      </c>
      <c r="I37" s="142">
        <f>IF(Local!J53=0,Local!J55,Local!J53)</f>
        <v>1000</v>
      </c>
      <c r="J37" s="142">
        <f>IF(Local!K53=0,Local!K55,Local!K53)</f>
        <v>1000</v>
      </c>
      <c r="K37" s="142">
        <f>IF(Local!L53=0,Local!L55,Local!L53)</f>
        <v>1000</v>
      </c>
      <c r="L37" s="142">
        <f>IF(Local!M53=0,Local!M55,Local!M53)</f>
        <v>1000</v>
      </c>
      <c r="M37" s="142">
        <f>IF(Local!N53=0,Local!N55,Local!N53)</f>
        <v>1000</v>
      </c>
      <c r="N37" s="142">
        <f t="shared" si="3"/>
        <v>8796.5746880000006</v>
      </c>
    </row>
    <row r="38" spans="1:14" ht="32.25" customHeight="1">
      <c r="A38" s="139" t="s">
        <v>99</v>
      </c>
      <c r="B38" s="140">
        <f>IF(Local!C60=0,Local!C62,Local!C60)</f>
        <v>1756.4309929999999</v>
      </c>
      <c r="C38" s="140">
        <f>IF(Local!D60=0,Local!D62,Local!D60)</f>
        <v>7497.8105919999998</v>
      </c>
      <c r="D38" s="140">
        <f>IF(Local!E60=0,Local!E62,Local!E60)</f>
        <v>1043.838379</v>
      </c>
      <c r="E38" s="140">
        <f>IF(Local!F60=0,Local!F62,Local!F60)</f>
        <v>2000</v>
      </c>
      <c r="F38" s="140">
        <f>IF(Local!G60=0,Local!G62,Local!G60)</f>
        <v>1000</v>
      </c>
      <c r="G38" s="140">
        <f>IF(Local!H60=0,Local!H62,Local!H60)</f>
        <v>1000</v>
      </c>
      <c r="H38" s="140">
        <f>IF(Local!I60=0,Local!I62,Local!I60)</f>
        <v>1000</v>
      </c>
      <c r="I38" s="140">
        <f>IF(Local!J60=0,Local!J62,Local!J60)</f>
        <v>3000</v>
      </c>
      <c r="J38" s="140">
        <f>IF(Local!K60=0,Local!K62,Local!K60)</f>
        <v>5000</v>
      </c>
      <c r="K38" s="140">
        <f>IF(Local!L60=0,Local!L62,Local!L60)</f>
        <v>4000</v>
      </c>
      <c r="L38" s="140">
        <f>IF(Local!M60=0,Local!M62,Local!M60)</f>
        <v>4000</v>
      </c>
      <c r="M38" s="140">
        <f>IF(Local!N60=0,Local!N62,Local!N60)</f>
        <v>5000</v>
      </c>
      <c r="N38" s="140">
        <f t="shared" si="3"/>
        <v>36298.079964000004</v>
      </c>
    </row>
    <row r="39" spans="1:14" ht="32.25" customHeight="1">
      <c r="A39" s="141" t="s">
        <v>100</v>
      </c>
      <c r="B39" s="142">
        <f>IF(Local!C67=0,Local!C69,Local!C67)</f>
        <v>2.8940049999999999</v>
      </c>
      <c r="C39" s="142">
        <f>IF(Local!D67=0,Local!D69,Local!D67)</f>
        <v>42.601367000000003</v>
      </c>
      <c r="D39" s="142">
        <f>IF(Local!E67=0,Local!E69,Local!E67)</f>
        <v>39.869312000000001</v>
      </c>
      <c r="E39" s="142">
        <f>IF(Local!F67=0,Local!F69,Local!F67)</f>
        <v>0</v>
      </c>
      <c r="F39" s="142">
        <f>IF(Local!G67=0,Local!G69,Local!G67)</f>
        <v>0</v>
      </c>
      <c r="G39" s="142">
        <f>IF(Local!H67=0,Local!H69,Local!H67)</f>
        <v>0</v>
      </c>
      <c r="H39" s="142">
        <f>IF(Local!I67=0,Local!I69,Local!I67)</f>
        <v>0</v>
      </c>
      <c r="I39" s="142">
        <f>IF(Local!J67=0,Local!J69,Local!J67)</f>
        <v>0</v>
      </c>
      <c r="J39" s="142">
        <f>IF(Local!K67=0,Local!K69,Local!K67)</f>
        <v>0</v>
      </c>
      <c r="K39" s="142">
        <f>IF(Local!L67=0,Local!L69,Local!L67)</f>
        <v>0</v>
      </c>
      <c r="L39" s="142">
        <f>IF(Local!M67=0,Local!M69,Local!M67)</f>
        <v>0</v>
      </c>
      <c r="M39" s="142">
        <f>IF(Local!N67=0,Local!N69,Local!N67)</f>
        <v>0</v>
      </c>
      <c r="N39" s="142">
        <f t="shared" si="3"/>
        <v>85.364684000000011</v>
      </c>
    </row>
    <row r="40" spans="1:14" ht="32.25" customHeight="1">
      <c r="A40" s="139" t="s">
        <v>101</v>
      </c>
      <c r="B40" s="140">
        <f>IF(Local!C74=0,Local!C76,Local!C74)</f>
        <v>84.286657000000005</v>
      </c>
      <c r="C40" s="140">
        <f>IF(Local!D74=0,Local!D76,Local!D74)</f>
        <v>268.819322</v>
      </c>
      <c r="D40" s="140">
        <f>IF(Local!E74=0,Local!E76,Local!E74)</f>
        <v>-18.937923000000001</v>
      </c>
      <c r="E40" s="140">
        <f>IF(Local!F74=0,Local!F76,Local!F74)</f>
        <v>100</v>
      </c>
      <c r="F40" s="140">
        <f>IF(Local!G74=0,Local!G76,Local!G74)</f>
        <v>100</v>
      </c>
      <c r="G40" s="140">
        <f>IF(Local!H74=0,Local!H76,Local!H74)</f>
        <v>100</v>
      </c>
      <c r="H40" s="140">
        <f>IF(Local!I74=0,Local!I76,Local!I74)</f>
        <v>100</v>
      </c>
      <c r="I40" s="140">
        <f>IF(Local!J74=0,Local!J76,Local!J74)</f>
        <v>100</v>
      </c>
      <c r="J40" s="140">
        <f>IF(Local!K74=0,Local!K76,Local!K74)</f>
        <v>100</v>
      </c>
      <c r="K40" s="140">
        <f>IF(Local!L74=0,Local!L76,Local!L74)</f>
        <v>100</v>
      </c>
      <c r="L40" s="140">
        <f>IF(Local!M74=0,Local!M76,Local!M74)</f>
        <v>100</v>
      </c>
      <c r="M40" s="140">
        <f>IF(Local!N74=0,Local!N76,Local!N74)</f>
        <v>100</v>
      </c>
      <c r="N40" s="140">
        <f t="shared" si="3"/>
        <v>1234.168056</v>
      </c>
    </row>
    <row r="41" spans="1:14" ht="32.25" customHeight="1">
      <c r="A41" s="141" t="s">
        <v>102</v>
      </c>
      <c r="B41" s="142">
        <f>IF(Local!C81=0,Local!C83,Local!C81)</f>
        <v>353.48924799999998</v>
      </c>
      <c r="C41" s="142">
        <f>IF(Local!D81=0,Local!D83,Local!D81)</f>
        <v>275.81461999999999</v>
      </c>
      <c r="D41" s="142">
        <f>IF(Local!E81=0,Local!E83,Local!E81)</f>
        <v>355.83360499999998</v>
      </c>
      <c r="E41" s="142">
        <f>IF(Local!F81=0,Local!F83,Local!F81)</f>
        <v>500</v>
      </c>
      <c r="F41" s="142">
        <f>IF(Local!G81=0,Local!G83,Local!G81)</f>
        <v>500</v>
      </c>
      <c r="G41" s="142">
        <f>IF(Local!H81=0,Local!H83,Local!H81)</f>
        <v>500</v>
      </c>
      <c r="H41" s="142">
        <f>IF(Local!I81=0,Local!I83,Local!I81)</f>
        <v>500</v>
      </c>
      <c r="I41" s="142">
        <f>IF(Local!J81=0,Local!J83,Local!J81)</f>
        <v>500</v>
      </c>
      <c r="J41" s="142">
        <f>IF(Local!K81=0,Local!K83,Local!K81)</f>
        <v>500</v>
      </c>
      <c r="K41" s="142">
        <f>IF(Local!L81=0,Local!L83,Local!L81)</f>
        <v>500</v>
      </c>
      <c r="L41" s="142">
        <f>IF(Local!M81=0,Local!M83,Local!M81)</f>
        <v>500</v>
      </c>
      <c r="M41" s="142">
        <f>IF(Local!N81=0,Local!N83,Local!N81)</f>
        <v>500</v>
      </c>
      <c r="N41" s="142">
        <f t="shared" si="3"/>
        <v>5485.1374729999998</v>
      </c>
    </row>
    <row r="42" spans="1:14" ht="32.25" customHeight="1">
      <c r="A42" s="139" t="s">
        <v>103</v>
      </c>
      <c r="B42" s="140">
        <f>IF(Local!C88=0,Local!C90,Local!C88)</f>
        <v>2255.8121620000002</v>
      </c>
      <c r="C42" s="140">
        <f>IF(Local!D88=0,Local!D90,Local!D88)</f>
        <v>2409.3806140000002</v>
      </c>
      <c r="D42" s="140">
        <f>IF(Local!E88=0,Local!E90,Local!E88)</f>
        <v>577.10828400000003</v>
      </c>
      <c r="E42" s="140">
        <f>IF(Local!F88=0,Local!F90,Local!F88)</f>
        <v>1000</v>
      </c>
      <c r="F42" s="140">
        <f>IF(Local!G88=0,Local!G90,Local!G88)</f>
        <v>1000</v>
      </c>
      <c r="G42" s="140">
        <f>IF(Local!H88=0,Local!H90,Local!H88)</f>
        <v>1000</v>
      </c>
      <c r="H42" s="140">
        <f>IF(Local!I88=0,Local!I90,Local!I88)</f>
        <v>1000</v>
      </c>
      <c r="I42" s="140">
        <f>IF(Local!J88=0,Local!J90,Local!J88)</f>
        <v>1000</v>
      </c>
      <c r="J42" s="140">
        <f>IF(Local!K88=0,Local!K90,Local!K88)</f>
        <v>1000</v>
      </c>
      <c r="K42" s="140">
        <f>IF(Local!L88=0,Local!L90,Local!L88)</f>
        <v>1000</v>
      </c>
      <c r="L42" s="140">
        <f>IF(Local!M88=0,Local!M90,Local!M88)</f>
        <v>1000</v>
      </c>
      <c r="M42" s="140">
        <f>IF(Local!N88=0,Local!N90,Local!N88)</f>
        <v>1000</v>
      </c>
      <c r="N42" s="140">
        <f t="shared" si="3"/>
        <v>14242.30106</v>
      </c>
    </row>
    <row r="43" spans="1:14" ht="32.25" customHeight="1">
      <c r="A43" s="141" t="s">
        <v>104</v>
      </c>
      <c r="B43" s="142">
        <f>IF(Local!C95=0,Local!C97,Local!C95)</f>
        <v>4598.3042939999996</v>
      </c>
      <c r="C43" s="142">
        <f>IF(Local!D95=0,Local!D97,Local!D95)</f>
        <v>1835.8361030000001</v>
      </c>
      <c r="D43" s="142">
        <f>IF(Local!E95=0,Local!E97,Local!E95)</f>
        <v>2995.1122559999999</v>
      </c>
      <c r="E43" s="142">
        <f>IF(Local!F95=0,Local!F97,Local!F95)</f>
        <v>8000</v>
      </c>
      <c r="F43" s="142">
        <f>IF(Local!G95=0,Local!G97,Local!G95)</f>
        <v>3000</v>
      </c>
      <c r="G43" s="142">
        <f>IF(Local!H95=0,Local!H97,Local!H95)</f>
        <v>3000</v>
      </c>
      <c r="H43" s="142">
        <f>IF(Local!I95=0,Local!I97,Local!I95)</f>
        <v>3000</v>
      </c>
      <c r="I43" s="142">
        <f>IF(Local!J95=0,Local!J97,Local!J95)</f>
        <v>5000</v>
      </c>
      <c r="J43" s="142">
        <f>IF(Local!K95=0,Local!K97,Local!K95)</f>
        <v>10000</v>
      </c>
      <c r="K43" s="142">
        <f>IF(Local!L95=0,Local!L97,Local!L95)</f>
        <v>8000</v>
      </c>
      <c r="L43" s="142">
        <f>IF(Local!M95=0,Local!M97,Local!M95)</f>
        <v>8000</v>
      </c>
      <c r="M43" s="142">
        <f>IF(Local!N95=0,Local!N97,Local!N95)</f>
        <v>10000</v>
      </c>
      <c r="N43" s="142">
        <f t="shared" si="3"/>
        <v>67429.252653000003</v>
      </c>
    </row>
    <row r="44" spans="1:14" ht="32.25" customHeight="1">
      <c r="A44" s="139" t="s">
        <v>105</v>
      </c>
      <c r="B44" s="140">
        <f>IF(Local!C102=0,Local!C104,Local!C102)</f>
        <v>-453.70795600000002</v>
      </c>
      <c r="C44" s="140">
        <f>IF(Local!D102=0,Local!D104,Local!D102)</f>
        <v>9662.2558310000004</v>
      </c>
      <c r="D44" s="140">
        <f>IF(Local!E102=0,Local!E104,Local!E102)</f>
        <v>4833.3067970000002</v>
      </c>
      <c r="E44" s="140">
        <f>IF(Local!F102=0,Local!F104,Local!F102)</f>
        <v>1000</v>
      </c>
      <c r="F44" s="140">
        <f>IF(Local!G102=0,Local!G104,Local!G102)</f>
        <v>1000</v>
      </c>
      <c r="G44" s="140">
        <f>IF(Local!H102=0,Local!H104,Local!H102)</f>
        <v>1000</v>
      </c>
      <c r="H44" s="140">
        <f>IF(Local!I102=0,Local!I104,Local!I102)</f>
        <v>1000</v>
      </c>
      <c r="I44" s="140">
        <f>IF(Local!J102=0,Local!J104,Local!J102)</f>
        <v>1000</v>
      </c>
      <c r="J44" s="140">
        <f>IF(Local!K102=0,Local!K104,Local!K102)</f>
        <v>1000</v>
      </c>
      <c r="K44" s="140">
        <f>IF(Local!L102=0,Local!L104,Local!L102)</f>
        <v>1000</v>
      </c>
      <c r="L44" s="140">
        <f>IF(Local!M102=0,Local!M104,Local!M102)</f>
        <v>1000</v>
      </c>
      <c r="M44" s="140">
        <f>IF(Local!N102=0,Local!N104,Local!N102)</f>
        <v>1000</v>
      </c>
      <c r="N44" s="140">
        <f t="shared" si="3"/>
        <v>23041.854672000001</v>
      </c>
    </row>
    <row r="45" spans="1:14" ht="32.25" customHeight="1">
      <c r="A45" s="141" t="s">
        <v>106</v>
      </c>
      <c r="B45" s="142">
        <f>IF(Local!C109=0,Local!C111,Local!C109)</f>
        <v>2133.9535030000002</v>
      </c>
      <c r="C45" s="142">
        <f>IF(Local!D109=0,Local!D111,Local!D109)</f>
        <v>3677.5282699999998</v>
      </c>
      <c r="D45" s="142">
        <f>IF(Local!E109=0,Local!E111,Local!E109)</f>
        <v>1909.7400210000001</v>
      </c>
      <c r="E45" s="142">
        <f>IF(Local!F109=0,Local!F111,Local!F109)</f>
        <v>2000</v>
      </c>
      <c r="F45" s="142">
        <f>IF(Local!G109=0,Local!G111,Local!G109)</f>
        <v>1000</v>
      </c>
      <c r="G45" s="142">
        <f>IF(Local!H109=0,Local!H111,Local!H109)</f>
        <v>1000</v>
      </c>
      <c r="H45" s="142">
        <f>IF(Local!I109=0,Local!I111,Local!I109)</f>
        <v>1000</v>
      </c>
      <c r="I45" s="142">
        <f>IF(Local!J109=0,Local!J111,Local!J109)</f>
        <v>1000</v>
      </c>
      <c r="J45" s="142">
        <f>IF(Local!K109=0,Local!K111,Local!K109)</f>
        <v>1000</v>
      </c>
      <c r="K45" s="142">
        <f>IF(Local!L109=0,Local!L111,Local!L109)</f>
        <v>1000</v>
      </c>
      <c r="L45" s="142">
        <f>IF(Local!M109=0,Local!M111,Local!M109)</f>
        <v>1000</v>
      </c>
      <c r="M45" s="142">
        <f>IF(Local!N109=0,Local!N111,Local!N109)</f>
        <v>1000</v>
      </c>
      <c r="N45" s="142">
        <f t="shared" si="3"/>
        <v>17721.221793999997</v>
      </c>
    </row>
    <row r="46" spans="1:14" ht="32.25" customHeight="1">
      <c r="A46" s="139" t="s">
        <v>107</v>
      </c>
      <c r="B46" s="140">
        <f>IF(Local!C116=0,Local!C118,Local!C116)</f>
        <v>142.196808</v>
      </c>
      <c r="C46" s="140">
        <f>IF(Local!D116=0,Local!D118,Local!D116)</f>
        <v>69.952983000000003</v>
      </c>
      <c r="D46" s="140">
        <f>IF(Local!E116=0,Local!E118,Local!E116)</f>
        <v>-849.13659600000005</v>
      </c>
      <c r="E46" s="140">
        <f>IF(Local!F116=0,Local!F118,Local!F116)</f>
        <v>500</v>
      </c>
      <c r="F46" s="140">
        <f>IF(Local!G116=0,Local!G118,Local!G116)</f>
        <v>500</v>
      </c>
      <c r="G46" s="140">
        <f>IF(Local!H116=0,Local!H118,Local!H116)</f>
        <v>500</v>
      </c>
      <c r="H46" s="140">
        <f>IF(Local!I116=0,Local!I118,Local!I116)</f>
        <v>500</v>
      </c>
      <c r="I46" s="140">
        <f>IF(Local!J116=0,Local!J118,Local!J116)</f>
        <v>500</v>
      </c>
      <c r="J46" s="140">
        <f>IF(Local!K116=0,Local!K118,Local!K116)</f>
        <v>500</v>
      </c>
      <c r="K46" s="140">
        <f>IF(Local!L116=0,Local!L118,Local!L116)</f>
        <v>500</v>
      </c>
      <c r="L46" s="140">
        <f>IF(Local!M116=0,Local!M118,Local!M116)</f>
        <v>500</v>
      </c>
      <c r="M46" s="140">
        <f>IF(Local!N116=0,Local!N118,Local!N116)</f>
        <v>500</v>
      </c>
      <c r="N46" s="140">
        <f t="shared" si="3"/>
        <v>3863.013195</v>
      </c>
    </row>
    <row r="47" spans="1:14" ht="32.25" customHeight="1">
      <c r="A47" s="141" t="s">
        <v>108</v>
      </c>
      <c r="B47" s="142">
        <f>IF(Local!C123=0,Local!C125,Local!C123)</f>
        <v>4363.5493809999998</v>
      </c>
      <c r="C47" s="142">
        <f>IF(Local!D123=0,Local!D125,Local!D123)</f>
        <v>5298.6386929999999</v>
      </c>
      <c r="D47" s="142">
        <f>IF(Local!E123=0,Local!E125,Local!E123)</f>
        <v>5417.3922110000003</v>
      </c>
      <c r="E47" s="142">
        <f>IF(Local!F123=0,Local!F125,Local!F123)</f>
        <v>3000</v>
      </c>
      <c r="F47" s="142">
        <f>IF(Local!G123=0,Local!G125,Local!G123)</f>
        <v>3000</v>
      </c>
      <c r="G47" s="142">
        <f>IF(Local!H123=0,Local!H125,Local!H123)</f>
        <v>3000</v>
      </c>
      <c r="H47" s="142">
        <f>IF(Local!I123=0,Local!I125,Local!I123)</f>
        <v>3000</v>
      </c>
      <c r="I47" s="142">
        <f>IF(Local!J123=0,Local!J125,Local!J123)</f>
        <v>4000</v>
      </c>
      <c r="J47" s="142">
        <f>IF(Local!K123=0,Local!K125,Local!K123)</f>
        <v>8000</v>
      </c>
      <c r="K47" s="142">
        <f>IF(Local!L123=0,Local!L125,Local!L123)</f>
        <v>5000</v>
      </c>
      <c r="L47" s="142">
        <f>IF(Local!M123=0,Local!M125,Local!M123)</f>
        <v>5000</v>
      </c>
      <c r="M47" s="142">
        <f>IF(Local!N123=0,Local!N125,Local!N123)</f>
        <v>5000</v>
      </c>
      <c r="N47" s="142">
        <f t="shared" si="3"/>
        <v>54079.580285000004</v>
      </c>
    </row>
    <row r="48" spans="1:14" ht="32.25" customHeight="1">
      <c r="A48" s="139" t="s">
        <v>109</v>
      </c>
      <c r="B48" s="140">
        <f>IF(Local!C130=0,Local!C132,Local!C130)</f>
        <v>936.26584100000002</v>
      </c>
      <c r="C48" s="140">
        <f>IF(Local!D130=0,Local!D132,Local!D130)</f>
        <v>-432.94900699999999</v>
      </c>
      <c r="D48" s="140">
        <f>IF(Local!E130=0,Local!E132,Local!E130)</f>
        <v>-426.49199299999998</v>
      </c>
      <c r="E48" s="140">
        <f>IF(Local!F130=0,Local!F132,Local!F130)</f>
        <v>500</v>
      </c>
      <c r="F48" s="140">
        <f>IF(Local!G130=0,Local!G132,Local!G130)</f>
        <v>500</v>
      </c>
      <c r="G48" s="140">
        <f>IF(Local!H130=0,Local!H132,Local!H130)</f>
        <v>500</v>
      </c>
      <c r="H48" s="140">
        <f>IF(Local!I130=0,Local!I132,Local!I130)</f>
        <v>500</v>
      </c>
      <c r="I48" s="140">
        <f>IF(Local!J130=0,Local!J132,Local!J130)</f>
        <v>500</v>
      </c>
      <c r="J48" s="140">
        <f>IF(Local!K130=0,Local!K132,Local!K130)</f>
        <v>500</v>
      </c>
      <c r="K48" s="140">
        <f>IF(Local!L130=0,Local!L132,Local!L130)</f>
        <v>500</v>
      </c>
      <c r="L48" s="140">
        <f>IF(Local!M130=0,Local!M132,Local!M130)</f>
        <v>500</v>
      </c>
      <c r="M48" s="140">
        <f>IF(Local!N130=0,Local!N132,Local!N130)</f>
        <v>500</v>
      </c>
      <c r="N48" s="140">
        <f t="shared" si="3"/>
        <v>4576.8248409999997</v>
      </c>
    </row>
    <row r="49" spans="1:14" ht="32.25" customHeight="1">
      <c r="A49" s="141" t="s">
        <v>110</v>
      </c>
      <c r="B49" s="142">
        <f>IF(Local!C137=0,Local!C139,Local!C137)</f>
        <v>1059.3762320000001</v>
      </c>
      <c r="C49" s="142">
        <f>IF(Local!D137=0,Local!D139,Local!D137)</f>
        <v>485.38376499999998</v>
      </c>
      <c r="D49" s="142">
        <f>IF(Local!E137=0,Local!E139,Local!E137)</f>
        <v>-1908.3346280000001</v>
      </c>
      <c r="E49" s="142">
        <f>IF(Local!F137=0,Local!F139,Local!F137)</f>
        <v>500</v>
      </c>
      <c r="F49" s="142">
        <f>IF(Local!G137=0,Local!G139,Local!G137)</f>
        <v>500</v>
      </c>
      <c r="G49" s="142">
        <f>IF(Local!H137=0,Local!H139,Local!H137)</f>
        <v>500</v>
      </c>
      <c r="H49" s="142">
        <f>IF(Local!I137=0,Local!I139,Local!I137)</f>
        <v>500</v>
      </c>
      <c r="I49" s="142">
        <f>IF(Local!J137=0,Local!J139,Local!J137)</f>
        <v>500</v>
      </c>
      <c r="J49" s="142">
        <f>IF(Local!K137=0,Local!K139,Local!K137)</f>
        <v>500</v>
      </c>
      <c r="K49" s="142">
        <f>IF(Local!L137=0,Local!L139,Local!L137)</f>
        <v>500</v>
      </c>
      <c r="L49" s="142">
        <f>IF(Local!M137=0,Local!M139,Local!M137)</f>
        <v>500</v>
      </c>
      <c r="M49" s="142">
        <f>IF(Local!N137=0,Local!N139,Local!N137)</f>
        <v>500</v>
      </c>
      <c r="N49" s="142">
        <f t="shared" si="3"/>
        <v>4136.4253690000005</v>
      </c>
    </row>
    <row r="50" spans="1:14" ht="32.25" customHeight="1">
      <c r="A50" s="139" t="s">
        <v>111</v>
      </c>
      <c r="B50" s="140">
        <f>IF(Local!C144=0,Local!C146,Local!C144)</f>
        <v>-2553.5342249999999</v>
      </c>
      <c r="C50" s="140">
        <f>IF(Local!D144=0,Local!D146,Local!D144)</f>
        <v>778.41681300000005</v>
      </c>
      <c r="D50" s="140">
        <f>IF(Local!E144=0,Local!E146,Local!E144)</f>
        <v>-4.9836640000000001</v>
      </c>
      <c r="E50" s="140">
        <f>IF(Local!F144=0,Local!F146,Local!F144)</f>
        <v>500</v>
      </c>
      <c r="F50" s="140">
        <f>IF(Local!G144=0,Local!G146,Local!G144)</f>
        <v>500</v>
      </c>
      <c r="G50" s="140">
        <f>IF(Local!H144=0,Local!H146,Local!H144)</f>
        <v>500</v>
      </c>
      <c r="H50" s="140">
        <f>IF(Local!I144=0,Local!I146,Local!I144)</f>
        <v>500</v>
      </c>
      <c r="I50" s="140">
        <f>IF(Local!J144=0,Local!J146,Local!J144)</f>
        <v>500</v>
      </c>
      <c r="J50" s="140">
        <f>IF(Local!K144=0,Local!K146,Local!K144)</f>
        <v>500</v>
      </c>
      <c r="K50" s="140">
        <f>IF(Local!L144=0,Local!L146,Local!L144)</f>
        <v>500</v>
      </c>
      <c r="L50" s="140">
        <f>IF(Local!M144=0,Local!M146,Local!M144)</f>
        <v>500</v>
      </c>
      <c r="M50" s="140">
        <f>IF(Local!N144=0,Local!N146,Local!N144)</f>
        <v>500</v>
      </c>
      <c r="N50" s="140">
        <f t="shared" si="3"/>
        <v>2719.8989240000001</v>
      </c>
    </row>
    <row r="51" spans="1:14" ht="32.25" customHeight="1">
      <c r="A51" s="141" t="s">
        <v>112</v>
      </c>
      <c r="B51" s="142">
        <f>IF(Local!C151=0,Local!C153,Local!C151)</f>
        <v>500</v>
      </c>
      <c r="C51" s="142">
        <f>IF(Local!D151=0,Local!D153,Local!D151)</f>
        <v>500</v>
      </c>
      <c r="D51" s="142">
        <f>IF(Local!E151=0,Local!E153,Local!E151)</f>
        <v>500</v>
      </c>
      <c r="E51" s="142">
        <f>IF(Local!F151=0,Local!F153,Local!F151)</f>
        <v>500</v>
      </c>
      <c r="F51" s="142">
        <f>IF(Local!G151=0,Local!G153,Local!G151)</f>
        <v>500</v>
      </c>
      <c r="G51" s="142">
        <f>IF(Local!H151=0,Local!H153,Local!H151)</f>
        <v>500</v>
      </c>
      <c r="H51" s="142">
        <f>IF(Local!I151=0,Local!I153,Local!I151)</f>
        <v>500</v>
      </c>
      <c r="I51" s="142">
        <f>IF(Local!J151=0,Local!J153,Local!J151)</f>
        <v>500</v>
      </c>
      <c r="J51" s="142">
        <f>IF(Local!K151=0,Local!K153,Local!K151)</f>
        <v>500</v>
      </c>
      <c r="K51" s="142">
        <f>IF(Local!L151=0,Local!L153,Local!L151)</f>
        <v>500</v>
      </c>
      <c r="L51" s="142">
        <f>IF(Local!M151=0,Local!M153,Local!M151)</f>
        <v>500</v>
      </c>
      <c r="M51" s="142">
        <f>IF(Local!N151=0,Local!N153,Local!N151)</f>
        <v>500</v>
      </c>
      <c r="N51" s="142">
        <f t="shared" si="3"/>
        <v>6000</v>
      </c>
    </row>
    <row r="52" spans="1:14" ht="32.25" customHeight="1">
      <c r="A52" s="139" t="s">
        <v>113</v>
      </c>
      <c r="B52" s="140">
        <f>IF(Local!C158=0,Local!C160,Local!C158)</f>
        <v>75517.580287999997</v>
      </c>
      <c r="C52" s="140">
        <f>IF(Local!D158=0,Local!D160,Local!D158)</f>
        <v>62921.899102000003</v>
      </c>
      <c r="D52" s="140">
        <f>IF(Local!E158=0,Local!E160,Local!E158)</f>
        <v>3415.6736879999999</v>
      </c>
      <c r="E52" s="140">
        <f>IF(Local!F158=0,Local!F160,Local!F158)</f>
        <v>10000</v>
      </c>
      <c r="F52" s="140">
        <f>IF(Local!G158=0,Local!G160,Local!G158)</f>
        <v>5000</v>
      </c>
      <c r="G52" s="140">
        <f>IF(Local!H158=0,Local!H160,Local!H158)</f>
        <v>5000</v>
      </c>
      <c r="H52" s="140">
        <f>IF(Local!I158=0,Local!I160,Local!I158)</f>
        <v>5000</v>
      </c>
      <c r="I52" s="140">
        <f>IF(Local!J158=0,Local!J160,Local!J158)</f>
        <v>10000</v>
      </c>
      <c r="J52" s="140">
        <f>IF(Local!K158=0,Local!K160,Local!K158)</f>
        <v>25000</v>
      </c>
      <c r="K52" s="140">
        <f>IF(Local!L158=0,Local!L160,Local!L158)</f>
        <v>20000</v>
      </c>
      <c r="L52" s="140">
        <f>IF(Local!M158=0,Local!M160,Local!M158)</f>
        <v>20000</v>
      </c>
      <c r="M52" s="140">
        <f>IF(Local!N158=0,Local!N160,Local!N158)</f>
        <v>25000</v>
      </c>
      <c r="N52" s="140">
        <f t="shared" si="3"/>
        <v>266855.153078</v>
      </c>
    </row>
    <row r="53" spans="1:14" ht="32.25" customHeight="1">
      <c r="A53" s="141" t="s">
        <v>114</v>
      </c>
      <c r="B53" s="142">
        <f>IF(Local!C165=0,Local!C167,Local!C165)</f>
        <v>10202.616908</v>
      </c>
      <c r="C53" s="142">
        <f>IF(Local!D165=0,Local!D167,Local!D165)</f>
        <v>11728.955408</v>
      </c>
      <c r="D53" s="142">
        <f>IF(Local!E165=0,Local!E167,Local!E165)</f>
        <v>13670.576889</v>
      </c>
      <c r="E53" s="142">
        <f>IF(Local!F165=0,Local!F167,Local!F165)</f>
        <v>15000</v>
      </c>
      <c r="F53" s="142">
        <f>IF(Local!G165=0,Local!G167,Local!G165)</f>
        <v>15000</v>
      </c>
      <c r="G53" s="142">
        <f>IF(Local!H165=0,Local!H167,Local!H165)</f>
        <v>15000</v>
      </c>
      <c r="H53" s="142">
        <f>IF(Local!I165=0,Local!I167,Local!I165)</f>
        <v>20000</v>
      </c>
      <c r="I53" s="142">
        <f>IF(Local!J165=0,Local!J167,Local!J165)</f>
        <v>20000</v>
      </c>
      <c r="J53" s="142">
        <f>IF(Local!K165=0,Local!K167,Local!K165)</f>
        <v>20000</v>
      </c>
      <c r="K53" s="142">
        <f>IF(Local!L165=0,Local!L167,Local!L165)</f>
        <v>30000</v>
      </c>
      <c r="L53" s="142">
        <f>IF(Local!M165=0,Local!M167,Local!M165)</f>
        <v>30000</v>
      </c>
      <c r="M53" s="142">
        <f>IF(Local!N165=0,Local!N167,Local!N165)</f>
        <v>30000</v>
      </c>
      <c r="N53" s="142">
        <f t="shared" si="3"/>
        <v>230602.14920499999</v>
      </c>
    </row>
    <row r="54" spans="1:14" ht="32.25" customHeight="1">
      <c r="A54" s="139" t="s">
        <v>115</v>
      </c>
      <c r="B54" s="140">
        <f>IF(Local!C172=0,Local!C174,Local!C172)</f>
        <v>564.95599800000002</v>
      </c>
      <c r="C54" s="140">
        <f>IF(Local!D172=0,Local!D174,Local!D172)</f>
        <v>935.49918200000002</v>
      </c>
      <c r="D54" s="140">
        <f>IF(Local!E172=0,Local!E174,Local!E172)</f>
        <v>209.729871</v>
      </c>
      <c r="E54" s="140">
        <f>IF(Local!F172=0,Local!F174,Local!F172)</f>
        <v>500</v>
      </c>
      <c r="F54" s="140">
        <f>IF(Local!G172=0,Local!G174,Local!G172)</f>
        <v>500</v>
      </c>
      <c r="G54" s="140">
        <f>IF(Local!H172=0,Local!H174,Local!H172)</f>
        <v>500</v>
      </c>
      <c r="H54" s="140">
        <f>IF(Local!I172=0,Local!I174,Local!I172)</f>
        <v>500</v>
      </c>
      <c r="I54" s="140">
        <f>IF(Local!J172=0,Local!J174,Local!J172)</f>
        <v>500</v>
      </c>
      <c r="J54" s="140">
        <f>IF(Local!K172=0,Local!K174,Local!K172)</f>
        <v>500</v>
      </c>
      <c r="K54" s="140">
        <f>IF(Local!L172=0,Local!L174,Local!L172)</f>
        <v>500</v>
      </c>
      <c r="L54" s="140">
        <f>IF(Local!M172=0,Local!M174,Local!M172)</f>
        <v>500</v>
      </c>
      <c r="M54" s="140">
        <f>IF(Local!N172=0,Local!N174,Local!N172)</f>
        <v>500</v>
      </c>
      <c r="N54" s="140">
        <f t="shared" si="3"/>
        <v>6210.1850510000004</v>
      </c>
    </row>
    <row r="55" spans="1:14" ht="32.25" customHeight="1">
      <c r="A55" s="141" t="s">
        <v>116</v>
      </c>
      <c r="B55" s="142">
        <f>IF(Local!C179=0,Local!C181,Local!C179)</f>
        <v>251.00370000000001</v>
      </c>
      <c r="C55" s="142">
        <f>IF(Local!D179=0,Local!D181,Local!D179)</f>
        <v>-133.23708099999999</v>
      </c>
      <c r="D55" s="142">
        <f>IF(Local!E179=0,Local!E181,Local!E179)</f>
        <v>516.74519299999997</v>
      </c>
      <c r="E55" s="142">
        <f>IF(Local!F179=0,Local!F181,Local!F179)</f>
        <v>0</v>
      </c>
      <c r="F55" s="142">
        <f>IF(Local!G179=0,Local!G181,Local!G179)</f>
        <v>0</v>
      </c>
      <c r="G55" s="142">
        <f>IF(Local!H179=0,Local!H181,Local!H179)</f>
        <v>0</v>
      </c>
      <c r="H55" s="142">
        <f>IF(Local!I179=0,Local!I181,Local!I179)</f>
        <v>0</v>
      </c>
      <c r="I55" s="142">
        <f>IF(Local!J179=0,Local!J181,Local!J179)</f>
        <v>0</v>
      </c>
      <c r="J55" s="142">
        <f>IF(Local!K179=0,Local!K181,Local!K179)</f>
        <v>0</v>
      </c>
      <c r="K55" s="142">
        <f>IF(Local!L179=0,Local!L181,Local!L179)</f>
        <v>0</v>
      </c>
      <c r="L55" s="142">
        <f>IF(Local!M179=0,Local!M181,Local!M179)</f>
        <v>0</v>
      </c>
      <c r="M55" s="142">
        <f>IF(Local!N179=0,Local!N181,Local!N179)</f>
        <v>0</v>
      </c>
      <c r="N55" s="142">
        <f t="shared" si="3"/>
        <v>634.51181199999996</v>
      </c>
    </row>
    <row r="56" spans="1:14" ht="32.25" customHeight="1">
      <c r="A56" s="139" t="s">
        <v>117</v>
      </c>
      <c r="B56" s="140">
        <f>IF(Local!C186=0,Local!C188,Local!C186)</f>
        <v>202.818637</v>
      </c>
      <c r="C56" s="140">
        <f>IF(Local!D186=0,Local!D188,Local!D186)</f>
        <v>86.489926999999994</v>
      </c>
      <c r="D56" s="140">
        <f>IF(Local!E186=0,Local!E188,Local!E186)</f>
        <v>106.29764299999999</v>
      </c>
      <c r="E56" s="140">
        <f>IF(Local!F186=0,Local!F188,Local!F186)</f>
        <v>0</v>
      </c>
      <c r="F56" s="140">
        <f>IF(Local!G186=0,Local!G188,Local!G186)</f>
        <v>0</v>
      </c>
      <c r="G56" s="140">
        <f>IF(Local!H186=0,Local!H188,Local!H186)</f>
        <v>0</v>
      </c>
      <c r="H56" s="140">
        <f>IF(Local!I186=0,Local!I188,Local!I186)</f>
        <v>0</v>
      </c>
      <c r="I56" s="140">
        <f>IF(Local!J186=0,Local!J188,Local!J186)</f>
        <v>0</v>
      </c>
      <c r="J56" s="140">
        <f>IF(Local!K186=0,Local!K188,Local!K186)</f>
        <v>0</v>
      </c>
      <c r="K56" s="140">
        <f>IF(Local!L186=0,Local!L188,Local!L186)</f>
        <v>0</v>
      </c>
      <c r="L56" s="140">
        <f>IF(Local!M186=0,Local!M188,Local!M186)</f>
        <v>0</v>
      </c>
      <c r="M56" s="140">
        <f>IF(Local!N186=0,Local!N188,Local!N186)</f>
        <v>0</v>
      </c>
      <c r="N56" s="140">
        <f t="shared" si="3"/>
        <v>395.60620699999998</v>
      </c>
    </row>
    <row r="57" spans="1:14" ht="32.25" customHeight="1">
      <c r="A57" s="145" t="s">
        <v>190</v>
      </c>
      <c r="B57" s="146">
        <f t="shared" ref="B57:M57" si="4">SUM(B30:B56)</f>
        <v>142021.10686999999</v>
      </c>
      <c r="C57" s="146">
        <f t="shared" si="4"/>
        <v>142913.83921100001</v>
      </c>
      <c r="D57" s="146">
        <f t="shared" si="4"/>
        <v>80227.898613000012</v>
      </c>
      <c r="E57" s="146">
        <f t="shared" si="4"/>
        <v>75600</v>
      </c>
      <c r="F57" s="146">
        <f t="shared" si="4"/>
        <v>47600</v>
      </c>
      <c r="G57" s="146">
        <f t="shared" si="4"/>
        <v>47600</v>
      </c>
      <c r="H57" s="146">
        <f t="shared" si="4"/>
        <v>52600</v>
      </c>
      <c r="I57" s="146">
        <f t="shared" si="4"/>
        <v>78600</v>
      </c>
      <c r="J57" s="146">
        <f t="shared" si="4"/>
        <v>150600</v>
      </c>
      <c r="K57" s="146">
        <f t="shared" si="4"/>
        <v>131600</v>
      </c>
      <c r="L57" s="146">
        <f t="shared" si="4"/>
        <v>131600</v>
      </c>
      <c r="M57" s="146">
        <f t="shared" si="4"/>
        <v>152600</v>
      </c>
      <c r="N57" s="146">
        <f t="shared" si="3"/>
        <v>1233562.844694</v>
      </c>
    </row>
    <row r="58" spans="1:14" ht="32.25" customHeight="1">
      <c r="A58" s="37" t="s">
        <v>118</v>
      </c>
      <c r="B58" s="138" t="str">
        <f>IF('OJ+OO'!C4=0,"FORECAST","ACTUAL")</f>
        <v>ACTUAL</v>
      </c>
      <c r="C58" s="138" t="str">
        <f>IF('OJ+OO'!D4=0,"FORECAST","ACTUAL")</f>
        <v>ACTUAL</v>
      </c>
      <c r="D58" s="138" t="str">
        <f>IF('OJ+OO'!E4=0,"FORECAST","ACTUAL")</f>
        <v>ACTUAL</v>
      </c>
      <c r="E58" s="138" t="str">
        <f>IF('OJ+OO'!F4=0,"FORECAST","ACTUAL")</f>
        <v>FORECAST</v>
      </c>
      <c r="F58" s="138" t="str">
        <f>IF('OJ+OO'!G4=0,"FORECAST","ACTUAL")</f>
        <v>FORECAST</v>
      </c>
      <c r="G58" s="138" t="str">
        <f>IF('OJ+OO'!H4=0,"FORECAST","ACTUAL")</f>
        <v>FORECAST</v>
      </c>
      <c r="H58" s="138" t="str">
        <f>IF('OJ+OO'!I4=0,"FORECAST","ACTUAL")</f>
        <v>FORECAST</v>
      </c>
      <c r="I58" s="138" t="str">
        <f>IF('OJ+OO'!J4=0,"FORECAST","ACTUAL")</f>
        <v>FORECAST</v>
      </c>
      <c r="J58" s="138" t="str">
        <f>IF('OJ+OO'!K4=0,"FORECAST","ACTUAL")</f>
        <v>FORECAST</v>
      </c>
      <c r="K58" s="138" t="str">
        <f>IF('OJ+OO'!L4=0,"FORECAST","ACTUAL")</f>
        <v>FORECAST</v>
      </c>
      <c r="L58" s="138" t="str">
        <f>IF('OJ+OO'!M4=0,"FORECAST","ACTUAL")</f>
        <v>FORECAST</v>
      </c>
      <c r="M58" s="138" t="str">
        <f>IF('OJ+OO'!N4=0,"FORECAST","ACTUAL")</f>
        <v>FORECAST</v>
      </c>
      <c r="N58" s="37"/>
    </row>
    <row r="59" spans="1:14" ht="32.25" customHeight="1">
      <c r="A59" s="139" t="s">
        <v>120</v>
      </c>
      <c r="B59" s="140">
        <f>IF('OJ+OO'!C4=0,'OJ+OO'!C6,'OJ+OO'!C4)</f>
        <v>1498879.993674</v>
      </c>
      <c r="C59" s="140">
        <f>IF('OJ+OO'!D4=0,'OJ+OO'!D6,'OJ+OO'!D4)</f>
        <v>1372295.0367429999</v>
      </c>
      <c r="D59" s="140">
        <f>IF('OJ+OO'!E4=0,'OJ+OO'!E6,'OJ+OO'!E4)</f>
        <v>1352236.1753080001</v>
      </c>
      <c r="E59" s="140">
        <f>IF('OJ+OO'!F4=0,'OJ+OO'!F6,'OJ+OO'!F4)</f>
        <v>1288619</v>
      </c>
      <c r="F59" s="140">
        <f>IF('OJ+OO'!G4=0,'OJ+OO'!G6,'OJ+OO'!G4)</f>
        <v>1239950</v>
      </c>
      <c r="G59" s="140">
        <f>IF('OJ+OO'!H4=0,'OJ+OO'!H6,'OJ+OO'!H4)</f>
        <v>1146396</v>
      </c>
      <c r="H59" s="140">
        <f>IF('OJ+OO'!I4=0,'OJ+OO'!I6,'OJ+OO'!I4)</f>
        <v>1072744</v>
      </c>
      <c r="I59" s="140">
        <f>IF('OJ+OO'!J4=0,'OJ+OO'!J6,'OJ+OO'!J4)</f>
        <v>1050237</v>
      </c>
      <c r="J59" s="140">
        <f>IF('OJ+OO'!K4=0,'OJ+OO'!K6,'OJ+OO'!K4)</f>
        <v>1301571</v>
      </c>
      <c r="K59" s="140">
        <f>IF('OJ+OO'!L4=0,'OJ+OO'!L6,'OJ+OO'!L4)</f>
        <v>1486809</v>
      </c>
      <c r="L59" s="140">
        <f>IF('OJ+OO'!M4=0,'OJ+OO'!M6,'OJ+OO'!M4)</f>
        <v>1615194</v>
      </c>
      <c r="M59" s="140">
        <f>IF('OJ+OO'!N4=0,'OJ+OO'!N6,'OJ+OO'!N4)</f>
        <v>1612359</v>
      </c>
      <c r="N59" s="140">
        <f t="shared" ref="N59:N64" si="5">SUM(B59:M59)</f>
        <v>16037290.205724999</v>
      </c>
    </row>
    <row r="60" spans="1:14" ht="32.25" customHeight="1">
      <c r="A60" s="141" t="s">
        <v>121</v>
      </c>
      <c r="B60" s="142">
        <f>IF('OJ+OO'!C11=0,'OJ+OO'!C13,'OJ+OO'!C11)</f>
        <v>0</v>
      </c>
      <c r="C60" s="142">
        <f>IF('OJ+OO'!D11=0,'OJ+OO'!D13,'OJ+OO'!D11)</f>
        <v>0</v>
      </c>
      <c r="D60" s="142">
        <f>IF('OJ+OO'!E11=0,'OJ+OO'!E13,'OJ+OO'!E11)</f>
        <v>0</v>
      </c>
      <c r="E60" s="142">
        <f>IF('OJ+OO'!F11=0,'OJ+OO'!F13,'OJ+OO'!F11)</f>
        <v>0</v>
      </c>
      <c r="F60" s="142">
        <f>IF('OJ+OO'!G11=0,'OJ+OO'!G13,'OJ+OO'!G11)</f>
        <v>0</v>
      </c>
      <c r="G60" s="142">
        <f>IF('OJ+OO'!H11=0,'OJ+OO'!H13,'OJ+OO'!H11)</f>
        <v>0</v>
      </c>
      <c r="H60" s="142">
        <f>IF('OJ+OO'!I11=0,'OJ+OO'!I13,'OJ+OO'!I11)</f>
        <v>0</v>
      </c>
      <c r="I60" s="142">
        <f>IF('OJ+OO'!J11=0,'OJ+OO'!J13,'OJ+OO'!J11)</f>
        <v>0</v>
      </c>
      <c r="J60" s="142">
        <f>IF('OJ+OO'!K11=0,'OJ+OO'!K13,'OJ+OO'!K11)</f>
        <v>0</v>
      </c>
      <c r="K60" s="142">
        <f>IF('OJ+OO'!L11=0,'OJ+OO'!L13,'OJ+OO'!L11)</f>
        <v>0</v>
      </c>
      <c r="L60" s="142">
        <f>IF('OJ+OO'!M11=0,'OJ+OO'!M13,'OJ+OO'!M11)</f>
        <v>0</v>
      </c>
      <c r="M60" s="142">
        <f>IF('OJ+OO'!N11=0,'OJ+OO'!N13,'OJ+OO'!N11)</f>
        <v>0</v>
      </c>
      <c r="N60" s="142">
        <f t="shared" si="5"/>
        <v>0</v>
      </c>
    </row>
    <row r="61" spans="1:14" ht="32.25" customHeight="1">
      <c r="A61" s="139" t="s">
        <v>122</v>
      </c>
      <c r="B61" s="140">
        <f>IF('OJ+OO'!C18=0,'OJ+OO'!C20,'OJ+OO'!C18)</f>
        <v>92646.238203000001</v>
      </c>
      <c r="C61" s="140">
        <f>IF('OJ+OO'!D18=0,'OJ+OO'!D20,'OJ+OO'!D18)</f>
        <v>62782.832570999999</v>
      </c>
      <c r="D61" s="140">
        <f>IF('OJ+OO'!E18=0,'OJ+OO'!E20,'OJ+OO'!E18)</f>
        <v>92995.439163999996</v>
      </c>
      <c r="E61" s="140">
        <f>IF('OJ+OO'!F18=0,'OJ+OO'!F20,'OJ+OO'!F18)</f>
        <v>70000</v>
      </c>
      <c r="F61" s="140">
        <f>IF('OJ+OO'!G18=0,'OJ+OO'!G20,'OJ+OO'!G18)</f>
        <v>70000</v>
      </c>
      <c r="G61" s="140">
        <f>IF('OJ+OO'!H18=0,'OJ+OO'!H20,'OJ+OO'!H18)</f>
        <v>70000</v>
      </c>
      <c r="H61" s="140">
        <f>IF('OJ+OO'!I18=0,'OJ+OO'!I20,'OJ+OO'!I18)</f>
        <v>70000</v>
      </c>
      <c r="I61" s="140">
        <f>IF('OJ+OO'!J18=0,'OJ+OO'!J20,'OJ+OO'!J18)</f>
        <v>70000</v>
      </c>
      <c r="J61" s="140">
        <f>IF('OJ+OO'!K18=0,'OJ+OO'!K20,'OJ+OO'!K18)</f>
        <v>70000</v>
      </c>
      <c r="K61" s="140">
        <f>IF('OJ+OO'!L18=0,'OJ+OO'!L20,'OJ+OO'!L18)</f>
        <v>70000</v>
      </c>
      <c r="L61" s="140">
        <f>IF('OJ+OO'!M18=0,'OJ+OO'!M20,'OJ+OO'!M18)</f>
        <v>70000</v>
      </c>
      <c r="M61" s="140">
        <f>IF('OJ+OO'!N18=0,'OJ+OO'!N20,'OJ+OO'!N18)</f>
        <v>70000</v>
      </c>
      <c r="N61" s="140">
        <f t="shared" si="5"/>
        <v>878424.509938</v>
      </c>
    </row>
    <row r="62" spans="1:14" ht="32.25" customHeight="1">
      <c r="A62" s="141" t="s">
        <v>123</v>
      </c>
      <c r="B62" s="142">
        <f>IF('OJ+OO'!C25=0,'OJ+OO'!C27,'OJ+OO'!C25)</f>
        <v>236708.1</v>
      </c>
      <c r="C62" s="142">
        <f>IF('OJ+OO'!D25=0,'OJ+OO'!D27,'OJ+OO'!D25)</f>
        <v>175526.1</v>
      </c>
      <c r="D62" s="142">
        <f>IF('OJ+OO'!E25=0,'OJ+OO'!E27,'OJ+OO'!E25)</f>
        <v>249908.77</v>
      </c>
      <c r="E62" s="142">
        <f>IF('OJ+OO'!F25=0,'OJ+OO'!F27,'OJ+OO'!F25)</f>
        <v>202500</v>
      </c>
      <c r="F62" s="142">
        <f>IF('OJ+OO'!G25=0,'OJ+OO'!G27,'OJ+OO'!G25)</f>
        <v>202500</v>
      </c>
      <c r="G62" s="142">
        <f>IF('OJ+OO'!H25=0,'OJ+OO'!H27,'OJ+OO'!H25)</f>
        <v>202500</v>
      </c>
      <c r="H62" s="142">
        <f>IF('OJ+OO'!I25=0,'OJ+OO'!I27,'OJ+OO'!I25)</f>
        <v>202500</v>
      </c>
      <c r="I62" s="142">
        <f>IF('OJ+OO'!J25=0,'OJ+OO'!J27,'OJ+OO'!J25)</f>
        <v>202500</v>
      </c>
      <c r="J62" s="142">
        <f>IF('OJ+OO'!K25=0,'OJ+OO'!K27,'OJ+OO'!K25)</f>
        <v>447500</v>
      </c>
      <c r="K62" s="142">
        <f>IF('OJ+OO'!L25=0,'OJ+OO'!L27,'OJ+OO'!L25)</f>
        <v>522500</v>
      </c>
      <c r="L62" s="142">
        <f>IF('OJ+OO'!M25=0,'OJ+OO'!M27,'OJ+OO'!M25)</f>
        <v>557500</v>
      </c>
      <c r="M62" s="142">
        <f>IF('OJ+OO'!N25=0,'OJ+OO'!N27,'OJ+OO'!N25)</f>
        <v>562500</v>
      </c>
      <c r="N62" s="142">
        <f t="shared" si="5"/>
        <v>3764642.9699999997</v>
      </c>
    </row>
    <row r="63" spans="1:14" ht="32.25" customHeight="1">
      <c r="A63" s="139" t="s">
        <v>124</v>
      </c>
      <c r="B63" s="140">
        <f>IF('OJ+OO'!C32=0,'OJ+OO'!C34,'OJ+OO'!C32)</f>
        <v>1395039.7868599999</v>
      </c>
      <c r="C63" s="140">
        <f>IF('OJ+OO'!D32=0,'OJ+OO'!D34,'OJ+OO'!D32)</f>
        <v>1172189.0594929999</v>
      </c>
      <c r="D63" s="140">
        <f>IF('OJ+OO'!E32=0,'OJ+OO'!E34,'OJ+OO'!E32)</f>
        <v>1502403.724771</v>
      </c>
      <c r="E63" s="140">
        <f>IF('OJ+OO'!F32=0,'OJ+OO'!F34,'OJ+OO'!F32)</f>
        <v>1555531</v>
      </c>
      <c r="F63" s="140">
        <f>IF('OJ+OO'!G32=0,'OJ+OO'!G34,'OJ+OO'!G32)</f>
        <v>1588108</v>
      </c>
      <c r="G63" s="140">
        <f>IF('OJ+OO'!H32=0,'OJ+OO'!H34,'OJ+OO'!H32)</f>
        <v>1588108</v>
      </c>
      <c r="H63" s="140">
        <f>IF('OJ+OO'!I32=0,'OJ+OO'!I34,'OJ+OO'!I32)</f>
        <v>1591365</v>
      </c>
      <c r="I63" s="140">
        <f>IF('OJ+OO'!J32=0,'OJ+OO'!J34,'OJ+OO'!J32)</f>
        <v>1591365</v>
      </c>
      <c r="J63" s="140">
        <f>IF('OJ+OO'!K32=0,'OJ+OO'!K34,'OJ+OO'!K32)</f>
        <v>1591365</v>
      </c>
      <c r="K63" s="140">
        <f>IF('OJ+OO'!L32=0,'OJ+OO'!L34,'OJ+OO'!L32)</f>
        <v>1601189</v>
      </c>
      <c r="L63" s="140">
        <f>IF('OJ+OO'!M32=0,'OJ+OO'!M34,'OJ+OO'!M32)</f>
        <v>1601189</v>
      </c>
      <c r="M63" s="140">
        <f>IF('OJ+OO'!N32=0,'OJ+OO'!N34,'OJ+OO'!N32)</f>
        <v>1734779</v>
      </c>
      <c r="N63" s="140">
        <f t="shared" si="5"/>
        <v>18512631.571124002</v>
      </c>
    </row>
    <row r="64" spans="1:14" ht="32.25" customHeight="1">
      <c r="A64" s="145" t="s">
        <v>191</v>
      </c>
      <c r="B64" s="146">
        <f t="shared" ref="B64:M64" si="6">SUM(B59:B63)</f>
        <v>3223274.118737</v>
      </c>
      <c r="C64" s="146">
        <f t="shared" si="6"/>
        <v>2782793.0288070003</v>
      </c>
      <c r="D64" s="146">
        <f t="shared" si="6"/>
        <v>3197544.1092429999</v>
      </c>
      <c r="E64" s="146">
        <f t="shared" si="6"/>
        <v>3116650</v>
      </c>
      <c r="F64" s="146">
        <f t="shared" si="6"/>
        <v>3100558</v>
      </c>
      <c r="G64" s="146">
        <f t="shared" si="6"/>
        <v>3007004</v>
      </c>
      <c r="H64" s="146">
        <f t="shared" si="6"/>
        <v>2936609</v>
      </c>
      <c r="I64" s="146">
        <f t="shared" si="6"/>
        <v>2914102</v>
      </c>
      <c r="J64" s="146">
        <f t="shared" si="6"/>
        <v>3410436</v>
      </c>
      <c r="K64" s="146">
        <f t="shared" si="6"/>
        <v>3680498</v>
      </c>
      <c r="L64" s="146">
        <f t="shared" si="6"/>
        <v>3843883</v>
      </c>
      <c r="M64" s="146">
        <f t="shared" si="6"/>
        <v>3979638</v>
      </c>
      <c r="N64" s="146">
        <f t="shared" si="5"/>
        <v>39192989.256787002</v>
      </c>
    </row>
    <row r="65" spans="1:14" ht="32.25" customHeight="1">
      <c r="A65" s="151" t="s">
        <v>171</v>
      </c>
      <c r="B65" s="152">
        <f t="shared" ref="B65:M65" si="7">B8+B25+B28+B57+B64</f>
        <v>5414968.8082449995</v>
      </c>
      <c r="C65" s="152">
        <f t="shared" si="7"/>
        <v>5197586.8288270002</v>
      </c>
      <c r="D65" s="152">
        <f t="shared" si="7"/>
        <v>5344211.3113190001</v>
      </c>
      <c r="E65" s="152">
        <f t="shared" si="7"/>
        <v>5146905</v>
      </c>
      <c r="F65" s="152">
        <f t="shared" si="7"/>
        <v>4871771</v>
      </c>
      <c r="G65" s="152">
        <f t="shared" si="7"/>
        <v>4812873</v>
      </c>
      <c r="H65" s="152">
        <f t="shared" si="7"/>
        <v>4847604</v>
      </c>
      <c r="I65" s="152">
        <f t="shared" si="7"/>
        <v>5492554</v>
      </c>
      <c r="J65" s="152">
        <f t="shared" si="7"/>
        <v>6438852</v>
      </c>
      <c r="K65" s="152">
        <f t="shared" si="7"/>
        <v>6374751</v>
      </c>
      <c r="L65" s="152">
        <f t="shared" si="7"/>
        <v>6544786</v>
      </c>
      <c r="M65" s="152">
        <f t="shared" si="7"/>
        <v>6675311</v>
      </c>
      <c r="N65" s="152">
        <f>SUM(B65:M65)</f>
        <v>67162173.948391005</v>
      </c>
    </row>
    <row r="67" spans="1:14" ht="32.25" customHeight="1">
      <c r="A67" s="129"/>
      <c r="B67" s="129"/>
      <c r="C67" s="129"/>
      <c r="D67" s="129"/>
      <c r="E67" s="129"/>
      <c r="F67" s="129"/>
      <c r="G67" s="129"/>
      <c r="H67" s="129"/>
      <c r="I67" s="129"/>
      <c r="J67" s="129"/>
      <c r="K67" s="129"/>
      <c r="L67" s="129"/>
      <c r="M67" s="129"/>
      <c r="N67" s="129"/>
    </row>
    <row r="68" spans="1:14" ht="32.25" customHeight="1">
      <c r="A68" s="129"/>
      <c r="B68" s="129"/>
      <c r="C68" s="129"/>
      <c r="D68" s="129"/>
      <c r="E68" s="129"/>
      <c r="F68" s="129"/>
      <c r="G68" s="129"/>
      <c r="H68" s="129"/>
      <c r="I68" s="129"/>
      <c r="J68" s="129"/>
      <c r="K68" s="129"/>
      <c r="L68" s="129"/>
      <c r="M68" s="129"/>
      <c r="N68" s="129"/>
    </row>
  </sheetData>
  <sheetProtection sheet="1" objects="1" scenarios="1"/>
  <protectedRanges>
    <protectedRange sqref="O1:XFD1048576" name="Range1"/>
  </protectedRanges>
  <mergeCells count="1">
    <mergeCell ref="A1:N1"/>
  </mergeCell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P26"/>
  <sheetViews>
    <sheetView showGridLines="0" zoomScale="120" zoomScaleNormal="120" workbookViewId="0">
      <pane xSplit="2" ySplit="3" topLeftCell="C4" activePane="bottomRight" state="frozen"/>
      <selection pane="bottomRight" activeCell="C6" sqref="C6"/>
      <selection pane="bottomLeft" activeCell="V31" sqref="V31"/>
      <selection pane="topRight" activeCell="V31" sqref="V31"/>
    </sheetView>
    <sheetView workbookViewId="1">
      <pane ySplit="3" topLeftCell="A4" activePane="bottomLeft" state="frozen"/>
      <selection pane="bottomLeft" activeCell="O6" sqref="O6"/>
    </sheetView>
  </sheetViews>
  <sheetFormatPr defaultColWidth="8.7109375" defaultRowHeight="15"/>
  <cols>
    <col min="1" max="1" width="24" customWidth="1"/>
    <col min="2" max="2" width="20" customWidth="1"/>
    <col min="3" max="12" width="11.42578125" customWidth="1"/>
    <col min="13" max="13" width="11.7109375" customWidth="1"/>
    <col min="14" max="14" width="11.42578125" customWidth="1"/>
    <col min="15" max="15" width="13" customWidth="1"/>
  </cols>
  <sheetData>
    <row r="1" spans="1:16" ht="39.75" customHeight="1">
      <c r="A1" s="211" t="s">
        <v>192</v>
      </c>
      <c r="B1" s="211"/>
      <c r="C1" s="211"/>
      <c r="D1" s="211"/>
      <c r="E1" s="211"/>
      <c r="F1" s="211"/>
      <c r="G1" s="211"/>
      <c r="H1" s="211"/>
      <c r="I1" s="211"/>
      <c r="J1" s="211"/>
      <c r="K1" s="211"/>
      <c r="L1" s="211"/>
      <c r="M1" s="211"/>
      <c r="N1" s="211"/>
      <c r="O1" s="211"/>
    </row>
    <row r="2" spans="1:16" s="53" customFormat="1" ht="15.75" customHeight="1">
      <c r="A2" s="212" t="s">
        <v>193</v>
      </c>
      <c r="B2" s="212"/>
      <c r="C2" s="212"/>
      <c r="D2" s="212"/>
      <c r="E2" s="212"/>
      <c r="F2" s="212"/>
      <c r="G2" s="212"/>
      <c r="H2" s="212"/>
      <c r="I2" s="212"/>
      <c r="J2" s="212"/>
      <c r="K2" s="212"/>
      <c r="L2" s="212"/>
      <c r="M2" s="212"/>
      <c r="N2" s="212"/>
      <c r="O2" s="212"/>
    </row>
    <row r="3" spans="1:16" ht="30" customHeight="1" thickBot="1">
      <c r="A3" s="38" t="s">
        <v>40</v>
      </c>
      <c r="B3" s="38" t="s">
        <v>41</v>
      </c>
      <c r="C3" s="38" t="s">
        <v>42</v>
      </c>
      <c r="D3" s="38" t="s">
        <v>43</v>
      </c>
      <c r="E3" s="38" t="s">
        <v>44</v>
      </c>
      <c r="F3" s="38" t="s">
        <v>45</v>
      </c>
      <c r="G3" s="38" t="s">
        <v>46</v>
      </c>
      <c r="H3" s="38" t="s">
        <v>47</v>
      </c>
      <c r="I3" s="38" t="s">
        <v>48</v>
      </c>
      <c r="J3" s="38" t="s">
        <v>49</v>
      </c>
      <c r="K3" s="38" t="s">
        <v>50</v>
      </c>
      <c r="L3" s="38" t="s">
        <v>51</v>
      </c>
      <c r="M3" s="38" t="s">
        <v>52</v>
      </c>
      <c r="N3" s="38" t="s">
        <v>53</v>
      </c>
      <c r="O3" s="38" t="s">
        <v>54</v>
      </c>
    </row>
    <row r="4" spans="1:16" ht="18" customHeight="1">
      <c r="A4" s="39" t="s">
        <v>57</v>
      </c>
      <c r="B4" s="40" t="s">
        <v>194</v>
      </c>
      <c r="C4" s="41">
        <f>'Forecast Input'!D5</f>
        <v>474038.264264</v>
      </c>
      <c r="D4" s="41">
        <f>'Forecast Input'!E5</f>
        <v>459134.71760600002</v>
      </c>
      <c r="E4" s="41">
        <f>'Forecast Input'!F5</f>
        <v>552360.196367</v>
      </c>
      <c r="F4" s="41">
        <f>'Forecast Input'!G5</f>
        <v>0</v>
      </c>
      <c r="G4" s="41">
        <f>'Forecast Input'!H5</f>
        <v>0</v>
      </c>
      <c r="H4" s="41">
        <f>'Forecast Input'!I5</f>
        <v>0</v>
      </c>
      <c r="I4" s="41">
        <f>'Forecast Input'!J5</f>
        <v>0</v>
      </c>
      <c r="J4" s="41">
        <f>'Forecast Input'!K5</f>
        <v>0</v>
      </c>
      <c r="K4" s="41">
        <f>'Forecast Input'!L5</f>
        <v>0</v>
      </c>
      <c r="L4" s="41">
        <f>'Forecast Input'!M5</f>
        <v>0</v>
      </c>
      <c r="M4" s="41">
        <f>'Forecast Input'!N5</f>
        <v>0</v>
      </c>
      <c r="N4" s="41">
        <f>'Forecast Input'!O5</f>
        <v>0</v>
      </c>
      <c r="O4" s="42">
        <f>SUM(C4:N4)</f>
        <v>1485533.178237</v>
      </c>
    </row>
    <row r="5" spans="1:16" ht="18" customHeight="1">
      <c r="A5" s="43"/>
      <c r="B5" s="33" t="s">
        <v>23</v>
      </c>
      <c r="C5" s="22">
        <v>475949</v>
      </c>
      <c r="D5" s="22">
        <v>440366</v>
      </c>
      <c r="E5" s="22">
        <v>525216</v>
      </c>
      <c r="F5" s="22">
        <v>453059</v>
      </c>
      <c r="G5" s="22">
        <v>413871</v>
      </c>
      <c r="H5" s="22">
        <v>403322</v>
      </c>
      <c r="I5" s="22">
        <v>413273</v>
      </c>
      <c r="J5" s="22">
        <v>487182</v>
      </c>
      <c r="K5" s="22">
        <v>584970</v>
      </c>
      <c r="L5" s="22">
        <v>525388</v>
      </c>
      <c r="M5" s="22">
        <v>499582</v>
      </c>
      <c r="N5" s="22">
        <v>576723</v>
      </c>
      <c r="O5" s="44">
        <f>SUM(C5:N5)</f>
        <v>5798901</v>
      </c>
    </row>
    <row r="6" spans="1:16" ht="18" customHeight="1">
      <c r="A6" s="45"/>
      <c r="B6" s="34" t="s">
        <v>160</v>
      </c>
      <c r="C6" s="17">
        <f>'Forecast Input'!D6</f>
        <v>484326</v>
      </c>
      <c r="D6" s="17">
        <f>'Forecast Input'!E6</f>
        <v>443408</v>
      </c>
      <c r="E6" s="17">
        <f>'Forecast Input'!F6</f>
        <v>531544</v>
      </c>
      <c r="F6" s="17">
        <f>'Forecast Input'!G6</f>
        <v>459073</v>
      </c>
      <c r="G6" s="17">
        <f>'Forecast Input'!H6</f>
        <v>452554</v>
      </c>
      <c r="H6" s="17">
        <f>'Forecast Input'!I6</f>
        <v>478438</v>
      </c>
      <c r="I6" s="17">
        <f>'Forecast Input'!J6</f>
        <v>491501</v>
      </c>
      <c r="J6" s="17">
        <f>'Forecast Input'!K6</f>
        <v>751620</v>
      </c>
      <c r="K6" s="17">
        <f>'Forecast Input'!L6</f>
        <v>784277</v>
      </c>
      <c r="L6" s="17">
        <f>'Forecast Input'!M6</f>
        <v>731746</v>
      </c>
      <c r="M6" s="17">
        <f>'Forecast Input'!N6</f>
        <v>714855</v>
      </c>
      <c r="N6" s="17">
        <f>'Forecast Input'!O6</f>
        <v>681276</v>
      </c>
      <c r="O6" s="46">
        <f>SUM(C6:N6)</f>
        <v>7004618</v>
      </c>
      <c r="P6" s="117" t="s">
        <v>195</v>
      </c>
    </row>
    <row r="7" spans="1:16" ht="15.75" customHeight="1">
      <c r="A7" s="47"/>
      <c r="B7" s="86" t="s">
        <v>196</v>
      </c>
      <c r="C7" s="153">
        <f>IF(C4=0,"-",C4-C6)</f>
        <v>-10287.735736000002</v>
      </c>
      <c r="D7" s="153">
        <f t="shared" ref="D7:N7" si="0">IF(D4=0,"-",D4-D6)</f>
        <v>15726.71760600002</v>
      </c>
      <c r="E7" s="153">
        <f t="shared" si="0"/>
        <v>20816.196366999997</v>
      </c>
      <c r="F7" s="153" t="str">
        <f t="shared" si="0"/>
        <v>-</v>
      </c>
      <c r="G7" s="153" t="str">
        <f t="shared" si="0"/>
        <v>-</v>
      </c>
      <c r="H7" s="153" t="str">
        <f t="shared" si="0"/>
        <v>-</v>
      </c>
      <c r="I7" s="153" t="str">
        <f t="shared" si="0"/>
        <v>-</v>
      </c>
      <c r="J7" s="153" t="str">
        <f t="shared" si="0"/>
        <v>-</v>
      </c>
      <c r="K7" s="153" t="str">
        <f t="shared" si="0"/>
        <v>-</v>
      </c>
      <c r="L7" s="153" t="str">
        <f t="shared" si="0"/>
        <v>-</v>
      </c>
      <c r="M7" s="153" t="str">
        <f t="shared" si="0"/>
        <v>-</v>
      </c>
      <c r="N7" s="153" t="str">
        <f t="shared" si="0"/>
        <v>-</v>
      </c>
      <c r="O7" s="48"/>
      <c r="P7" t="s">
        <v>135</v>
      </c>
    </row>
    <row r="8" spans="1:16" ht="15.75" customHeight="1">
      <c r="A8" s="47"/>
      <c r="B8" s="86" t="s">
        <v>197</v>
      </c>
      <c r="C8" s="154">
        <f>IFERROR(C7/C4,"-")</f>
        <v>-2.1702331882370127E-2</v>
      </c>
      <c r="D8" s="154">
        <f t="shared" ref="D8:N8" si="1">IFERROR(D7/D4,"-")</f>
        <v>3.4252947997488792E-2</v>
      </c>
      <c r="E8" s="154">
        <f t="shared" si="1"/>
        <v>3.7685909491510988E-2</v>
      </c>
      <c r="F8" s="154" t="str">
        <f t="shared" si="1"/>
        <v>-</v>
      </c>
      <c r="G8" s="154" t="str">
        <f t="shared" si="1"/>
        <v>-</v>
      </c>
      <c r="H8" s="154" t="str">
        <f t="shared" si="1"/>
        <v>-</v>
      </c>
      <c r="I8" s="154" t="str">
        <f t="shared" si="1"/>
        <v>-</v>
      </c>
      <c r="J8" s="154" t="str">
        <f t="shared" si="1"/>
        <v>-</v>
      </c>
      <c r="K8" s="154" t="str">
        <f t="shared" si="1"/>
        <v>-</v>
      </c>
      <c r="L8" s="154" t="str">
        <f t="shared" si="1"/>
        <v>-</v>
      </c>
      <c r="M8" s="154" t="str">
        <f t="shared" si="1"/>
        <v>-</v>
      </c>
      <c r="N8" s="154" t="str">
        <f t="shared" si="1"/>
        <v>-</v>
      </c>
      <c r="O8" s="48"/>
    </row>
    <row r="9" spans="1:16" ht="15.75" customHeight="1">
      <c r="A9" s="47"/>
      <c r="B9" s="86" t="s">
        <v>198</v>
      </c>
      <c r="C9" s="153">
        <f t="shared" ref="C9:N9" si="2">IFERROR(C6-C5,"-")</f>
        <v>8377</v>
      </c>
      <c r="D9" s="153">
        <f t="shared" si="2"/>
        <v>3042</v>
      </c>
      <c r="E9" s="153">
        <f t="shared" si="2"/>
        <v>6328</v>
      </c>
      <c r="F9" s="153">
        <f t="shared" si="2"/>
        <v>6014</v>
      </c>
      <c r="G9" s="153">
        <f t="shared" si="2"/>
        <v>38683</v>
      </c>
      <c r="H9" s="153">
        <f t="shared" si="2"/>
        <v>75116</v>
      </c>
      <c r="I9" s="153">
        <f t="shared" si="2"/>
        <v>78228</v>
      </c>
      <c r="J9" s="153">
        <f t="shared" si="2"/>
        <v>264438</v>
      </c>
      <c r="K9" s="153">
        <f t="shared" si="2"/>
        <v>199307</v>
      </c>
      <c r="L9" s="153">
        <f t="shared" si="2"/>
        <v>206358</v>
      </c>
      <c r="M9" s="153">
        <f t="shared" si="2"/>
        <v>215273</v>
      </c>
      <c r="N9" s="153">
        <f t="shared" si="2"/>
        <v>104553</v>
      </c>
      <c r="O9" s="48"/>
    </row>
    <row r="10" spans="1:16" ht="15.75" customHeight="1" thickBot="1">
      <c r="A10" s="49"/>
      <c r="B10" s="155" t="s">
        <v>199</v>
      </c>
      <c r="C10" s="154">
        <f>IFERROR(C9/C5,"-")</f>
        <v>1.7600625277078005E-2</v>
      </c>
      <c r="D10" s="154">
        <f t="shared" ref="D10:N10" si="3">IFERROR(D9/D5,"-")</f>
        <v>6.9078902549243133E-3</v>
      </c>
      <c r="E10" s="154">
        <f t="shared" si="3"/>
        <v>1.2048376287089503E-2</v>
      </c>
      <c r="F10" s="154">
        <f t="shared" si="3"/>
        <v>1.3274209319316027E-2</v>
      </c>
      <c r="G10" s="154">
        <f t="shared" si="3"/>
        <v>9.3466321631619512E-2</v>
      </c>
      <c r="H10" s="154">
        <f t="shared" si="3"/>
        <v>0.18624324981032525</v>
      </c>
      <c r="I10" s="154">
        <f t="shared" si="3"/>
        <v>0.18928892039886466</v>
      </c>
      <c r="J10" s="154">
        <f t="shared" si="3"/>
        <v>0.5427909898148946</v>
      </c>
      <c r="K10" s="154">
        <f t="shared" si="3"/>
        <v>0.34071319896746843</v>
      </c>
      <c r="L10" s="154">
        <f t="shared" si="3"/>
        <v>0.39277257950314814</v>
      </c>
      <c r="M10" s="154">
        <f t="shared" si="3"/>
        <v>0.43090623761464586</v>
      </c>
      <c r="N10" s="154">
        <f t="shared" si="3"/>
        <v>0.18128807070291977</v>
      </c>
      <c r="O10" s="50"/>
    </row>
    <row r="11" spans="1:16" ht="18" customHeight="1">
      <c r="A11" s="39" t="s">
        <v>60</v>
      </c>
      <c r="B11" s="40" t="s">
        <v>194</v>
      </c>
      <c r="C11" s="41">
        <f>'Forecast Input'!D7</f>
        <v>111988.725114</v>
      </c>
      <c r="D11" s="41">
        <f>'Forecast Input'!E7</f>
        <v>103856.796049</v>
      </c>
      <c r="E11" s="41">
        <f>'Forecast Input'!F7</f>
        <v>134400.81461500001</v>
      </c>
      <c r="F11" s="41">
        <f>'Forecast Input'!G7</f>
        <v>0</v>
      </c>
      <c r="G11" s="41">
        <f>'Forecast Input'!H7</f>
        <v>0</v>
      </c>
      <c r="H11" s="41">
        <f>'Forecast Input'!I7</f>
        <v>0</v>
      </c>
      <c r="I11" s="41">
        <f>'Forecast Input'!J7</f>
        <v>0</v>
      </c>
      <c r="J11" s="41">
        <f>'Forecast Input'!K7</f>
        <v>0</v>
      </c>
      <c r="K11" s="41">
        <f>'Forecast Input'!L7</f>
        <v>0</v>
      </c>
      <c r="L11" s="41">
        <f>'Forecast Input'!M7</f>
        <v>0</v>
      </c>
      <c r="M11" s="41">
        <f>'Forecast Input'!N7</f>
        <v>0</v>
      </c>
      <c r="N11" s="41">
        <f>'Forecast Input'!O7</f>
        <v>0</v>
      </c>
      <c r="O11" s="42">
        <f>SUM(C11:N11)</f>
        <v>350246.33577800001</v>
      </c>
      <c r="P11" t="s">
        <v>135</v>
      </c>
    </row>
    <row r="12" spans="1:16" ht="18" customHeight="1">
      <c r="A12" s="43"/>
      <c r="B12" s="33" t="s">
        <v>23</v>
      </c>
      <c r="C12" s="22">
        <v>59518</v>
      </c>
      <c r="D12" s="22">
        <v>59327</v>
      </c>
      <c r="E12" s="22">
        <v>106033</v>
      </c>
      <c r="F12" s="22">
        <v>131901</v>
      </c>
      <c r="G12" s="22">
        <v>65346</v>
      </c>
      <c r="H12" s="22">
        <v>90721</v>
      </c>
      <c r="I12" s="22">
        <v>112099</v>
      </c>
      <c r="J12" s="22">
        <v>111648</v>
      </c>
      <c r="K12" s="22">
        <v>100884</v>
      </c>
      <c r="L12" s="22">
        <v>121514</v>
      </c>
      <c r="M12" s="22">
        <v>180968</v>
      </c>
      <c r="N12" s="22">
        <v>122875</v>
      </c>
      <c r="O12" s="44">
        <f>SUM(C12:N12)</f>
        <v>1262834</v>
      </c>
    </row>
    <row r="13" spans="1:16" ht="18" customHeight="1">
      <c r="A13" s="45"/>
      <c r="B13" s="15" t="s">
        <v>160</v>
      </c>
      <c r="C13" s="17">
        <f>'Forecast Input'!D8</f>
        <v>73000</v>
      </c>
      <c r="D13" s="17">
        <f>'Forecast Input'!E8</f>
        <v>79000</v>
      </c>
      <c r="E13" s="17">
        <f>'Forecast Input'!F8</f>
        <v>115000</v>
      </c>
      <c r="F13" s="17">
        <f>'Forecast Input'!G8</f>
        <v>114000</v>
      </c>
      <c r="G13" s="17">
        <f>'Forecast Input'!H8</f>
        <v>79000</v>
      </c>
      <c r="H13" s="17">
        <f>'Forecast Input'!I8</f>
        <v>74000</v>
      </c>
      <c r="I13" s="17">
        <f>'Forecast Input'!J8</f>
        <v>82000</v>
      </c>
      <c r="J13" s="17">
        <f>'Forecast Input'!K8</f>
        <v>124000</v>
      </c>
      <c r="K13" s="17">
        <f>'Forecast Input'!L8</f>
        <v>124000</v>
      </c>
      <c r="L13" s="17">
        <f>'Forecast Input'!M8</f>
        <v>107000</v>
      </c>
      <c r="M13" s="17">
        <f>'Forecast Input'!N8</f>
        <v>124000</v>
      </c>
      <c r="N13" s="17">
        <f>'Forecast Input'!O8</f>
        <v>124000</v>
      </c>
      <c r="O13" s="46">
        <f>SUM(C13:N13)</f>
        <v>1219000</v>
      </c>
    </row>
    <row r="14" spans="1:16" ht="15.75" customHeight="1">
      <c r="A14" s="51"/>
      <c r="B14" s="86" t="s">
        <v>196</v>
      </c>
      <c r="C14" s="153">
        <f>IF(C11=0,"-",C11-C13)</f>
        <v>38988.725114000001</v>
      </c>
      <c r="D14" s="153">
        <f t="shared" ref="D14" si="4">IF(D11=0,"-",D11-D13)</f>
        <v>24856.796048999997</v>
      </c>
      <c r="E14" s="153">
        <f t="shared" ref="E14" si="5">IF(E11=0,"-",E11-E13)</f>
        <v>19400.81461500001</v>
      </c>
      <c r="F14" s="153" t="str">
        <f t="shared" ref="F14" si="6">IF(F11=0,"-",F11-F13)</f>
        <v>-</v>
      </c>
      <c r="G14" s="153" t="str">
        <f t="shared" ref="G14" si="7">IF(G11=0,"-",G11-G13)</f>
        <v>-</v>
      </c>
      <c r="H14" s="153" t="str">
        <f t="shared" ref="H14" si="8">IF(H11=0,"-",H11-H13)</f>
        <v>-</v>
      </c>
      <c r="I14" s="153" t="str">
        <f t="shared" ref="I14" si="9">IF(I11=0,"-",I11-I13)</f>
        <v>-</v>
      </c>
      <c r="J14" s="153" t="str">
        <f t="shared" ref="J14" si="10">IF(J11=0,"-",J11-J13)</f>
        <v>-</v>
      </c>
      <c r="K14" s="153" t="str">
        <f t="shared" ref="K14" si="11">IF(K11=0,"-",K11-K13)</f>
        <v>-</v>
      </c>
      <c r="L14" s="153" t="str">
        <f t="shared" ref="L14" si="12">IF(L11=0,"-",L11-L13)</f>
        <v>-</v>
      </c>
      <c r="M14" s="153" t="str">
        <f t="shared" ref="M14" si="13">IF(M11=0,"-",M11-M13)</f>
        <v>-</v>
      </c>
      <c r="N14" s="153" t="str">
        <f t="shared" ref="N14" si="14">IF(N11=0,"-",N11-N13)</f>
        <v>-</v>
      </c>
      <c r="O14" s="87"/>
    </row>
    <row r="15" spans="1:16" ht="15.75" customHeight="1">
      <c r="A15" s="51"/>
      <c r="B15" s="86" t="s">
        <v>197</v>
      </c>
      <c r="C15" s="154">
        <f>IFERROR(C14/C11,"-")</f>
        <v>0.34814866473666034</v>
      </c>
      <c r="D15" s="154">
        <f t="shared" ref="D15" si="15">IFERROR(D14/D11,"-")</f>
        <v>0.23933721234065872</v>
      </c>
      <c r="E15" s="154">
        <f t="shared" ref="E15" si="16">IFERROR(E14/E11,"-")</f>
        <v>0.14435042429299944</v>
      </c>
      <c r="F15" s="154" t="str">
        <f t="shared" ref="F15" si="17">IFERROR(F14/F11,"-")</f>
        <v>-</v>
      </c>
      <c r="G15" s="154" t="str">
        <f t="shared" ref="G15" si="18">IFERROR(G14/G11,"-")</f>
        <v>-</v>
      </c>
      <c r="H15" s="154" t="str">
        <f t="shared" ref="H15" si="19">IFERROR(H14/H11,"-")</f>
        <v>-</v>
      </c>
      <c r="I15" s="154" t="str">
        <f t="shared" ref="I15" si="20">IFERROR(I14/I11,"-")</f>
        <v>-</v>
      </c>
      <c r="J15" s="154" t="str">
        <f t="shared" ref="J15" si="21">IFERROR(J14/J11,"-")</f>
        <v>-</v>
      </c>
      <c r="K15" s="154" t="str">
        <f t="shared" ref="K15" si="22">IFERROR(K14/K11,"-")</f>
        <v>-</v>
      </c>
      <c r="L15" s="154" t="str">
        <f t="shared" ref="L15" si="23">IFERROR(L14/L11,"-")</f>
        <v>-</v>
      </c>
      <c r="M15" s="154" t="str">
        <f t="shared" ref="M15" si="24">IFERROR(M14/M11,"-")</f>
        <v>-</v>
      </c>
      <c r="N15" s="154" t="str">
        <f t="shared" ref="N15" si="25">IFERROR(N14/N11,"-")</f>
        <v>-</v>
      </c>
      <c r="O15" s="87"/>
    </row>
    <row r="16" spans="1:16" ht="15.75" customHeight="1">
      <c r="A16" s="51"/>
      <c r="B16" s="86" t="s">
        <v>198</v>
      </c>
      <c r="C16" s="153">
        <f t="shared" ref="C16:N16" si="26">IFERROR(C13-C12,"-")</f>
        <v>13482</v>
      </c>
      <c r="D16" s="153">
        <f t="shared" si="26"/>
        <v>19673</v>
      </c>
      <c r="E16" s="153">
        <f t="shared" si="26"/>
        <v>8967</v>
      </c>
      <c r="F16" s="153">
        <f t="shared" si="26"/>
        <v>-17901</v>
      </c>
      <c r="G16" s="153">
        <f t="shared" si="26"/>
        <v>13654</v>
      </c>
      <c r="H16" s="153">
        <f t="shared" si="26"/>
        <v>-16721</v>
      </c>
      <c r="I16" s="153">
        <f t="shared" si="26"/>
        <v>-30099</v>
      </c>
      <c r="J16" s="153">
        <f t="shared" si="26"/>
        <v>12352</v>
      </c>
      <c r="K16" s="153">
        <f t="shared" si="26"/>
        <v>23116</v>
      </c>
      <c r="L16" s="153">
        <f t="shared" si="26"/>
        <v>-14514</v>
      </c>
      <c r="M16" s="153">
        <f t="shared" si="26"/>
        <v>-56968</v>
      </c>
      <c r="N16" s="153">
        <f t="shared" si="26"/>
        <v>1125</v>
      </c>
      <c r="O16" s="87"/>
    </row>
    <row r="17" spans="1:15" ht="15.75" customHeight="1" thickBot="1">
      <c r="A17" s="52"/>
      <c r="B17" s="155" t="s">
        <v>199</v>
      </c>
      <c r="C17" s="154">
        <f>IFERROR(C16/C12,"-")</f>
        <v>0.22651970832353238</v>
      </c>
      <c r="D17" s="154">
        <f t="shared" ref="D17:N17" si="27">IFERROR(D16/D12,"-")</f>
        <v>0.33160281153606286</v>
      </c>
      <c r="E17" s="154">
        <f t="shared" si="27"/>
        <v>8.4568011845368898E-2</v>
      </c>
      <c r="F17" s="154">
        <f t="shared" si="27"/>
        <v>-0.1357154229308345</v>
      </c>
      <c r="G17" s="154">
        <f t="shared" si="27"/>
        <v>0.20894928534263765</v>
      </c>
      <c r="H17" s="154">
        <f t="shared" si="27"/>
        <v>-0.18431234223608647</v>
      </c>
      <c r="I17" s="154">
        <f t="shared" si="27"/>
        <v>-0.26850373330716598</v>
      </c>
      <c r="J17" s="154">
        <f t="shared" si="27"/>
        <v>0.11063341931785611</v>
      </c>
      <c r="K17" s="154">
        <f t="shared" si="27"/>
        <v>0.22913445144918917</v>
      </c>
      <c r="L17" s="154">
        <f t="shared" si="27"/>
        <v>-0.11944302714090557</v>
      </c>
      <c r="M17" s="154">
        <f t="shared" si="27"/>
        <v>-0.31479598603067943</v>
      </c>
      <c r="N17" s="154">
        <f t="shared" si="27"/>
        <v>9.1556459816887082E-3</v>
      </c>
      <c r="O17" s="88"/>
    </row>
    <row r="18" spans="1:15" ht="18" customHeight="1">
      <c r="A18" s="39" t="s">
        <v>61</v>
      </c>
      <c r="B18" s="40" t="s">
        <v>194</v>
      </c>
      <c r="C18" s="41">
        <f>'Forecast Input'!D9</f>
        <v>243987.31782600001</v>
      </c>
      <c r="D18" s="41">
        <f>'Forecast Input'!E9</f>
        <v>236446.50021299999</v>
      </c>
      <c r="E18" s="41">
        <f>'Forecast Input'!F9</f>
        <v>248430.63376299999</v>
      </c>
      <c r="F18" s="41">
        <f>'Forecast Input'!G9</f>
        <v>0</v>
      </c>
      <c r="G18" s="41">
        <f>'Forecast Input'!H9</f>
        <v>0</v>
      </c>
      <c r="H18" s="41">
        <f>'Forecast Input'!I9</f>
        <v>0</v>
      </c>
      <c r="I18" s="41">
        <f>'Forecast Input'!J9</f>
        <v>0</v>
      </c>
      <c r="J18" s="41">
        <f>'Forecast Input'!K9</f>
        <v>0</v>
      </c>
      <c r="K18" s="41">
        <f>'Forecast Input'!L9</f>
        <v>0</v>
      </c>
      <c r="L18" s="41">
        <f>'Forecast Input'!M9</f>
        <v>0</v>
      </c>
      <c r="M18" s="41">
        <f>'Forecast Input'!N9</f>
        <v>0</v>
      </c>
      <c r="N18" s="41">
        <f>'Forecast Input'!O9</f>
        <v>0</v>
      </c>
      <c r="O18" s="42">
        <f>SUM(C18:N18)</f>
        <v>728864.45180200005</v>
      </c>
    </row>
    <row r="19" spans="1:15" ht="18" customHeight="1">
      <c r="A19" s="43"/>
      <c r="B19" s="33" t="s">
        <v>23</v>
      </c>
      <c r="C19" s="22">
        <v>281596</v>
      </c>
      <c r="D19" s="22">
        <v>256251</v>
      </c>
      <c r="E19" s="22">
        <v>254563</v>
      </c>
      <c r="F19" s="22">
        <v>288186</v>
      </c>
      <c r="G19" s="22">
        <v>266344</v>
      </c>
      <c r="H19" s="22">
        <v>268658</v>
      </c>
      <c r="I19" s="22">
        <v>257179</v>
      </c>
      <c r="J19" s="22">
        <v>258775</v>
      </c>
      <c r="K19" s="22">
        <v>270002</v>
      </c>
      <c r="L19" s="22">
        <v>258897</v>
      </c>
      <c r="M19" s="22">
        <v>264648</v>
      </c>
      <c r="N19" s="22">
        <v>264986</v>
      </c>
      <c r="O19" s="44">
        <f>SUM(C19:N19)</f>
        <v>3190085</v>
      </c>
    </row>
    <row r="20" spans="1:15" ht="18" customHeight="1">
      <c r="A20" s="45"/>
      <c r="B20" s="15" t="s">
        <v>160</v>
      </c>
      <c r="C20" s="17">
        <f>'Forecast Input'!D10</f>
        <v>273000</v>
      </c>
      <c r="D20" s="17">
        <f>'Forecast Input'!E10</f>
        <v>259000</v>
      </c>
      <c r="E20" s="17">
        <f>'Forecast Input'!F10</f>
        <v>248000</v>
      </c>
      <c r="F20" s="17">
        <f>'Forecast Input'!G10</f>
        <v>254000</v>
      </c>
      <c r="G20" s="17">
        <f>'Forecast Input'!H10</f>
        <v>264000</v>
      </c>
      <c r="H20" s="17">
        <f>'Forecast Input'!I10</f>
        <v>274000</v>
      </c>
      <c r="I20" s="17">
        <f>'Forecast Input'!J10</f>
        <v>311000</v>
      </c>
      <c r="J20" s="17">
        <f>'Forecast Input'!K10</f>
        <v>321000</v>
      </c>
      <c r="K20" s="17">
        <f>'Forecast Input'!L10</f>
        <v>324000</v>
      </c>
      <c r="L20" s="17">
        <f>'Forecast Input'!M10</f>
        <v>330000</v>
      </c>
      <c r="M20" s="17">
        <f>'Forecast Input'!N10</f>
        <v>333000</v>
      </c>
      <c r="N20" s="17">
        <f>'Forecast Input'!O10</f>
        <v>337000</v>
      </c>
      <c r="O20" s="46">
        <f>SUM(C20:N20)</f>
        <v>3528000</v>
      </c>
    </row>
    <row r="21" spans="1:15" ht="15.75" customHeight="1">
      <c r="A21" s="47"/>
      <c r="B21" s="86" t="s">
        <v>196</v>
      </c>
      <c r="C21" s="153">
        <f>IF(C18=0,"-",C18-C20)</f>
        <v>-29012.682173999987</v>
      </c>
      <c r="D21" s="153">
        <f t="shared" ref="D21" si="28">IF(D18=0,"-",D18-D20)</f>
        <v>-22553.499787000008</v>
      </c>
      <c r="E21" s="153">
        <f t="shared" ref="E21" si="29">IF(E18=0,"-",E18-E20)</f>
        <v>430.63376299999072</v>
      </c>
      <c r="F21" s="153" t="str">
        <f t="shared" ref="F21" si="30">IF(F18=0,"-",F18-F20)</f>
        <v>-</v>
      </c>
      <c r="G21" s="153" t="str">
        <f t="shared" ref="G21" si="31">IF(G18=0,"-",G18-G20)</f>
        <v>-</v>
      </c>
      <c r="H21" s="153" t="str">
        <f t="shared" ref="H21" si="32">IF(H18=0,"-",H18-H20)</f>
        <v>-</v>
      </c>
      <c r="I21" s="153" t="str">
        <f t="shared" ref="I21" si="33">IF(I18=0,"-",I18-I20)</f>
        <v>-</v>
      </c>
      <c r="J21" s="153" t="str">
        <f t="shared" ref="J21" si="34">IF(J18=0,"-",J18-J20)</f>
        <v>-</v>
      </c>
      <c r="K21" s="153" t="str">
        <f t="shared" ref="K21" si="35">IF(K18=0,"-",K18-K20)</f>
        <v>-</v>
      </c>
      <c r="L21" s="153" t="str">
        <f t="shared" ref="L21" si="36">IF(L18=0,"-",L18-L20)</f>
        <v>-</v>
      </c>
      <c r="M21" s="153" t="str">
        <f t="shared" ref="M21" si="37">IF(M18=0,"-",M18-M20)</f>
        <v>-</v>
      </c>
      <c r="N21" s="153" t="str">
        <f t="shared" ref="N21" si="38">IF(N18=0,"-",N18-N20)</f>
        <v>-</v>
      </c>
      <c r="O21" s="48"/>
    </row>
    <row r="22" spans="1:15" ht="15.75" customHeight="1">
      <c r="A22" s="47"/>
      <c r="B22" s="86" t="s">
        <v>197</v>
      </c>
      <c r="C22" s="154">
        <f>IFERROR(C21/C18,"-")</f>
        <v>-0.11891061565212349</v>
      </c>
      <c r="D22" s="154">
        <f t="shared" ref="D22" si="39">IFERROR(D21/D18,"-")</f>
        <v>-9.5385213004561112E-2</v>
      </c>
      <c r="E22" s="154">
        <f t="shared" ref="E22" si="40">IFERROR(E21/E18,"-")</f>
        <v>1.7334165134031355E-3</v>
      </c>
      <c r="F22" s="154" t="str">
        <f t="shared" ref="F22" si="41">IFERROR(F21/F18,"-")</f>
        <v>-</v>
      </c>
      <c r="G22" s="154" t="str">
        <f t="shared" ref="G22" si="42">IFERROR(G21/G18,"-")</f>
        <v>-</v>
      </c>
      <c r="H22" s="154" t="str">
        <f t="shared" ref="H22" si="43">IFERROR(H21/H18,"-")</f>
        <v>-</v>
      </c>
      <c r="I22" s="154" t="str">
        <f t="shared" ref="I22" si="44">IFERROR(I21/I18,"-")</f>
        <v>-</v>
      </c>
      <c r="J22" s="154" t="str">
        <f t="shared" ref="J22" si="45">IFERROR(J21/J18,"-")</f>
        <v>-</v>
      </c>
      <c r="K22" s="154" t="str">
        <f t="shared" ref="K22" si="46">IFERROR(K21/K18,"-")</f>
        <v>-</v>
      </c>
      <c r="L22" s="154" t="str">
        <f t="shared" ref="L22" si="47">IFERROR(L21/L18,"-")</f>
        <v>-</v>
      </c>
      <c r="M22" s="154" t="str">
        <f t="shared" ref="M22" si="48">IFERROR(M21/M18,"-")</f>
        <v>-</v>
      </c>
      <c r="N22" s="154" t="str">
        <f t="shared" ref="N22" si="49">IFERROR(N21/N18,"-")</f>
        <v>-</v>
      </c>
      <c r="O22" s="48"/>
    </row>
    <row r="23" spans="1:15" ht="15.75" customHeight="1">
      <c r="A23" s="47"/>
      <c r="B23" s="86" t="s">
        <v>198</v>
      </c>
      <c r="C23" s="153">
        <f t="shared" ref="C23:N23" si="50">IFERROR(C20-C19,"-")</f>
        <v>-8596</v>
      </c>
      <c r="D23" s="153">
        <f t="shared" si="50"/>
        <v>2749</v>
      </c>
      <c r="E23" s="153">
        <f t="shared" si="50"/>
        <v>-6563</v>
      </c>
      <c r="F23" s="153">
        <f t="shared" si="50"/>
        <v>-34186</v>
      </c>
      <c r="G23" s="153">
        <f t="shared" si="50"/>
        <v>-2344</v>
      </c>
      <c r="H23" s="153">
        <f t="shared" si="50"/>
        <v>5342</v>
      </c>
      <c r="I23" s="153">
        <f t="shared" si="50"/>
        <v>53821</v>
      </c>
      <c r="J23" s="153">
        <f t="shared" si="50"/>
        <v>62225</v>
      </c>
      <c r="K23" s="153">
        <f t="shared" si="50"/>
        <v>53998</v>
      </c>
      <c r="L23" s="153">
        <f t="shared" si="50"/>
        <v>71103</v>
      </c>
      <c r="M23" s="153">
        <f t="shared" si="50"/>
        <v>68352</v>
      </c>
      <c r="N23" s="153">
        <f t="shared" si="50"/>
        <v>72014</v>
      </c>
      <c r="O23" s="48"/>
    </row>
    <row r="24" spans="1:15" ht="15.95" thickBot="1">
      <c r="A24" s="49"/>
      <c r="B24" s="155" t="s">
        <v>199</v>
      </c>
      <c r="C24" s="154">
        <f>IFERROR(C23/C19,"-")</f>
        <v>-3.0526001789798151E-2</v>
      </c>
      <c r="D24" s="154">
        <f t="shared" ref="D24:N24" si="51">IFERROR(D23/D19,"-")</f>
        <v>1.0727763013607752E-2</v>
      </c>
      <c r="E24" s="154">
        <f t="shared" si="51"/>
        <v>-2.5781437208078156E-2</v>
      </c>
      <c r="F24" s="154">
        <f t="shared" si="51"/>
        <v>-0.11862477705370837</v>
      </c>
      <c r="G24" s="154">
        <f t="shared" si="51"/>
        <v>-8.800648785029886E-3</v>
      </c>
      <c r="H24" s="154">
        <f t="shared" si="51"/>
        <v>1.9884016109700808E-2</v>
      </c>
      <c r="I24" s="154">
        <f t="shared" si="51"/>
        <v>0.20927447419890427</v>
      </c>
      <c r="J24" s="154">
        <f t="shared" si="51"/>
        <v>0.240459858950826</v>
      </c>
      <c r="K24" s="154">
        <f t="shared" si="51"/>
        <v>0.19999111117695426</v>
      </c>
      <c r="L24" s="154">
        <f t="shared" si="51"/>
        <v>0.27463817657215034</v>
      </c>
      <c r="M24" s="154">
        <f t="shared" si="51"/>
        <v>0.25827514283123243</v>
      </c>
      <c r="N24" s="154">
        <f t="shared" si="51"/>
        <v>0.2717653008083446</v>
      </c>
      <c r="O24" s="50"/>
    </row>
    <row r="25" spans="1:15">
      <c r="A25" s="35"/>
      <c r="B25" s="35"/>
      <c r="C25" s="35"/>
      <c r="D25" s="35"/>
      <c r="E25" s="35"/>
      <c r="F25" s="35"/>
      <c r="G25" s="35"/>
      <c r="H25" s="35"/>
      <c r="I25" s="35"/>
      <c r="J25" s="35"/>
      <c r="K25" s="35"/>
      <c r="L25" s="35"/>
      <c r="M25" s="35"/>
      <c r="N25" s="35"/>
      <c r="O25" s="35"/>
    </row>
    <row r="26" spans="1:15">
      <c r="A26" s="213" t="s">
        <v>200</v>
      </c>
      <c r="B26" s="214"/>
      <c r="C26" s="29">
        <f t="shared" ref="C26:N26" si="52">IFERROR(IF(C4+C11+C18&gt;0,C4+C11+C18,C6+C13+C20),C6+C13+C20)</f>
        <v>830014.30720400007</v>
      </c>
      <c r="D26" s="29">
        <f t="shared" si="52"/>
        <v>799438.01386800001</v>
      </c>
      <c r="E26" s="29">
        <f t="shared" si="52"/>
        <v>935191.64474500006</v>
      </c>
      <c r="F26" s="29">
        <f t="shared" si="52"/>
        <v>827073</v>
      </c>
      <c r="G26" s="29">
        <f t="shared" si="52"/>
        <v>795554</v>
      </c>
      <c r="H26" s="29">
        <f t="shared" si="52"/>
        <v>826438</v>
      </c>
      <c r="I26" s="29">
        <f t="shared" si="52"/>
        <v>884501</v>
      </c>
      <c r="J26" s="29">
        <f t="shared" si="52"/>
        <v>1196620</v>
      </c>
      <c r="K26" s="29">
        <f t="shared" si="52"/>
        <v>1232277</v>
      </c>
      <c r="L26" s="29">
        <f t="shared" si="52"/>
        <v>1168746</v>
      </c>
      <c r="M26" s="29">
        <f t="shared" si="52"/>
        <v>1171855</v>
      </c>
      <c r="N26" s="29">
        <f t="shared" si="52"/>
        <v>1142276</v>
      </c>
      <c r="O26" s="29">
        <f>SUM(C26:N26)</f>
        <v>11809983.965817001</v>
      </c>
    </row>
  </sheetData>
  <sheetProtection sheet="1" objects="1" scenarios="1"/>
  <protectedRanges>
    <protectedRange sqref="P1:XFD1048576" name="Range1"/>
  </protectedRanges>
  <mergeCells count="3">
    <mergeCell ref="A1:O1"/>
    <mergeCell ref="A2:O2"/>
    <mergeCell ref="A26:B2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64F2C-68C5-4F8E-979D-75D53217C1E5}">
  <sheetPr>
    <tabColor rgb="FF92D050"/>
  </sheetPr>
  <dimension ref="A1:BW49"/>
  <sheetViews>
    <sheetView workbookViewId="0">
      <selection activeCell="A8" sqref="A8"/>
    </sheetView>
    <sheetView topLeftCell="Z23" zoomScaleNormal="100" zoomScaleSheetLayoutView="100" workbookViewId="1">
      <selection activeCell="AD43" sqref="AD43"/>
    </sheetView>
  </sheetViews>
  <sheetFormatPr defaultColWidth="8.85546875" defaultRowHeight="15"/>
  <cols>
    <col min="1" max="1" width="15.7109375" customWidth="1"/>
    <col min="2" max="2" width="21.42578125" customWidth="1"/>
    <col min="3" max="3" width="13.28515625" style="56" customWidth="1"/>
    <col min="4" max="4" width="148.28515625" customWidth="1"/>
    <col min="7" max="7" width="12" customWidth="1"/>
    <col min="30" max="30" width="10.42578125" customWidth="1"/>
    <col min="36" max="36" width="10.28515625" customWidth="1"/>
    <col min="39" max="39" width="10.7109375" customWidth="1"/>
    <col min="47" max="47" width="10.7109375" customWidth="1"/>
  </cols>
  <sheetData>
    <row r="1" spans="1:4">
      <c r="A1" s="55">
        <v>46134</v>
      </c>
      <c r="B1" t="s">
        <v>57</v>
      </c>
      <c r="C1" s="127" t="s">
        <v>201</v>
      </c>
      <c r="D1" t="s">
        <v>202</v>
      </c>
    </row>
    <row r="2" spans="1:4">
      <c r="A2" s="55">
        <v>46134</v>
      </c>
      <c r="B2" t="s">
        <v>57</v>
      </c>
      <c r="C2" s="127" t="s">
        <v>203</v>
      </c>
      <c r="D2" t="s">
        <v>204</v>
      </c>
    </row>
    <row r="3" spans="1:4">
      <c r="A3" s="55">
        <v>46134</v>
      </c>
      <c r="B3" t="s">
        <v>61</v>
      </c>
      <c r="C3" s="127" t="s">
        <v>205</v>
      </c>
      <c r="D3" s="128" t="s">
        <v>206</v>
      </c>
    </row>
    <row r="4" spans="1:4">
      <c r="A4" s="55">
        <v>46127</v>
      </c>
      <c r="B4" t="s">
        <v>57</v>
      </c>
      <c r="C4" s="127" t="s">
        <v>207</v>
      </c>
      <c r="D4" t="s">
        <v>208</v>
      </c>
    </row>
    <row r="5" spans="1:4">
      <c r="A5" s="55">
        <v>46127</v>
      </c>
      <c r="B5" t="s">
        <v>61</v>
      </c>
      <c r="C5" s="127" t="s">
        <v>209</v>
      </c>
      <c r="D5" t="s">
        <v>210</v>
      </c>
    </row>
    <row r="6" spans="1:4">
      <c r="A6" s="55">
        <v>46127</v>
      </c>
      <c r="B6" t="s">
        <v>61</v>
      </c>
      <c r="C6" s="127" t="s">
        <v>211</v>
      </c>
      <c r="D6" t="s">
        <v>210</v>
      </c>
    </row>
    <row r="7" spans="1:4">
      <c r="A7" s="55">
        <v>46127</v>
      </c>
      <c r="B7" t="s">
        <v>61</v>
      </c>
      <c r="C7" s="127" t="s">
        <v>207</v>
      </c>
      <c r="D7" t="s">
        <v>210</v>
      </c>
    </row>
    <row r="8" spans="1:4">
      <c r="A8" s="55">
        <v>46120</v>
      </c>
      <c r="B8" t="s">
        <v>57</v>
      </c>
      <c r="C8" s="127" t="s">
        <v>207</v>
      </c>
      <c r="D8" t="s">
        <v>212</v>
      </c>
    </row>
    <row r="9" spans="1:4">
      <c r="A9" s="55">
        <v>46120</v>
      </c>
      <c r="B9" t="s">
        <v>61</v>
      </c>
      <c r="C9" s="127" t="s">
        <v>209</v>
      </c>
      <c r="D9" t="s">
        <v>213</v>
      </c>
    </row>
    <row r="10" spans="1:4">
      <c r="A10" s="55">
        <v>46120</v>
      </c>
      <c r="B10" t="s">
        <v>61</v>
      </c>
      <c r="C10" s="127" t="s">
        <v>211</v>
      </c>
      <c r="D10" t="s">
        <v>214</v>
      </c>
    </row>
    <row r="11" spans="1:4">
      <c r="A11" s="55">
        <v>46112</v>
      </c>
      <c r="B11" t="s">
        <v>61</v>
      </c>
      <c r="C11" s="127" t="s">
        <v>215</v>
      </c>
      <c r="D11" t="s">
        <v>216</v>
      </c>
    </row>
    <row r="12" spans="1:4">
      <c r="A12" s="55">
        <v>46112</v>
      </c>
      <c r="B12" t="s">
        <v>61</v>
      </c>
      <c r="C12" s="127" t="s">
        <v>211</v>
      </c>
      <c r="D12" t="s">
        <v>217</v>
      </c>
    </row>
    <row r="13" spans="1:4">
      <c r="A13" s="55">
        <v>46112</v>
      </c>
      <c r="B13" t="s">
        <v>61</v>
      </c>
      <c r="C13" s="127" t="s">
        <v>207</v>
      </c>
      <c r="D13" t="s">
        <v>217</v>
      </c>
    </row>
    <row r="14" spans="1:4">
      <c r="A14" s="55">
        <v>46112</v>
      </c>
      <c r="B14" t="s">
        <v>57</v>
      </c>
      <c r="C14" s="127" t="s">
        <v>215</v>
      </c>
      <c r="D14" t="s">
        <v>218</v>
      </c>
    </row>
    <row r="15" spans="1:4">
      <c r="A15" s="55">
        <v>46107</v>
      </c>
      <c r="B15" t="s">
        <v>57</v>
      </c>
      <c r="C15" s="127" t="s">
        <v>215</v>
      </c>
      <c r="D15" t="s">
        <v>219</v>
      </c>
    </row>
    <row r="16" spans="1:4">
      <c r="A16" s="55">
        <v>46107</v>
      </c>
      <c r="B16" t="s">
        <v>220</v>
      </c>
      <c r="C16" s="127" t="s">
        <v>215</v>
      </c>
      <c r="D16" t="s">
        <v>221</v>
      </c>
    </row>
    <row r="17" spans="1:4">
      <c r="A17" s="55">
        <v>46104</v>
      </c>
      <c r="B17" t="s">
        <v>61</v>
      </c>
      <c r="C17" s="127" t="s">
        <v>215</v>
      </c>
      <c r="D17" t="s">
        <v>222</v>
      </c>
    </row>
    <row r="18" spans="1:4" ht="15" customHeight="1">
      <c r="A18" s="55">
        <v>46094</v>
      </c>
      <c r="B18" t="s">
        <v>220</v>
      </c>
      <c r="C18" s="127" t="s">
        <v>215</v>
      </c>
      <c r="D18" s="117" t="s">
        <v>223</v>
      </c>
    </row>
    <row r="19" spans="1:4" ht="15" customHeight="1">
      <c r="A19" s="55">
        <v>46093</v>
      </c>
      <c r="B19" t="s">
        <v>57</v>
      </c>
      <c r="C19" s="127" t="s">
        <v>215</v>
      </c>
      <c r="D19" s="128" t="s">
        <v>224</v>
      </c>
    </row>
    <row r="20" spans="1:4" ht="15" customHeight="1">
      <c r="A20" s="55">
        <v>46092</v>
      </c>
      <c r="B20" t="s">
        <v>61</v>
      </c>
      <c r="C20" s="127" t="s">
        <v>207</v>
      </c>
      <c r="D20" t="s">
        <v>225</v>
      </c>
    </row>
    <row r="21" spans="1:4" ht="15" customHeight="1">
      <c r="A21" s="55">
        <v>46092</v>
      </c>
      <c r="B21" t="s">
        <v>61</v>
      </c>
      <c r="C21" s="127" t="s">
        <v>215</v>
      </c>
      <c r="D21" t="s">
        <v>226</v>
      </c>
    </row>
    <row r="22" spans="1:4" ht="15" customHeight="1">
      <c r="A22" s="55">
        <v>46085</v>
      </c>
      <c r="B22" t="s">
        <v>61</v>
      </c>
      <c r="C22" s="82" t="s">
        <v>227</v>
      </c>
      <c r="D22" s="117" t="s">
        <v>228</v>
      </c>
    </row>
    <row r="23" spans="1:4" ht="15" customHeight="1">
      <c r="A23" s="55">
        <v>46078</v>
      </c>
      <c r="B23" t="s">
        <v>57</v>
      </c>
      <c r="C23" s="82" t="s">
        <v>227</v>
      </c>
      <c r="D23" t="s">
        <v>229</v>
      </c>
    </row>
    <row r="24" spans="1:4" ht="15" customHeight="1">
      <c r="A24" s="55">
        <v>46078</v>
      </c>
      <c r="B24" t="s">
        <v>220</v>
      </c>
      <c r="C24" s="82" t="s">
        <v>227</v>
      </c>
      <c r="D24" t="s">
        <v>230</v>
      </c>
    </row>
    <row r="25" spans="1:4" ht="15" customHeight="1">
      <c r="A25" s="55">
        <v>46067</v>
      </c>
      <c r="B25" t="s">
        <v>57</v>
      </c>
      <c r="C25" s="82" t="s">
        <v>227</v>
      </c>
      <c r="D25" t="s">
        <v>231</v>
      </c>
    </row>
    <row r="26" spans="1:4" ht="15" customHeight="1">
      <c r="A26" s="55">
        <v>46066</v>
      </c>
      <c r="B26" t="s">
        <v>61</v>
      </c>
      <c r="C26" s="82" t="s">
        <v>232</v>
      </c>
      <c r="D26" t="s">
        <v>233</v>
      </c>
    </row>
    <row r="27" spans="1:4" ht="15" customHeight="1">
      <c r="A27" s="55">
        <v>46064</v>
      </c>
      <c r="B27" t="s">
        <v>220</v>
      </c>
      <c r="C27" s="82" t="s">
        <v>227</v>
      </c>
      <c r="D27" t="s">
        <v>234</v>
      </c>
    </row>
    <row r="28" spans="1:4" ht="15" customHeight="1">
      <c r="A28" s="55">
        <v>46064</v>
      </c>
      <c r="B28" t="s">
        <v>61</v>
      </c>
      <c r="C28" s="82" t="s">
        <v>215</v>
      </c>
      <c r="D28" t="s">
        <v>235</v>
      </c>
    </row>
    <row r="29" spans="1:4" ht="15" customHeight="1">
      <c r="A29" s="55">
        <v>46064</v>
      </c>
      <c r="B29" t="s">
        <v>61</v>
      </c>
      <c r="C29" s="82" t="s">
        <v>227</v>
      </c>
      <c r="D29" t="s">
        <v>236</v>
      </c>
    </row>
    <row r="30" spans="1:4" ht="15" customHeight="1">
      <c r="A30" s="55">
        <v>46057</v>
      </c>
      <c r="B30" t="s">
        <v>57</v>
      </c>
      <c r="C30" s="82" t="s">
        <v>227</v>
      </c>
      <c r="D30" t="s">
        <v>237</v>
      </c>
    </row>
    <row r="31" spans="1:4" ht="15" customHeight="1">
      <c r="A31" s="55">
        <v>46057</v>
      </c>
      <c r="B31" t="s">
        <v>57</v>
      </c>
      <c r="C31" s="82" t="s">
        <v>232</v>
      </c>
      <c r="D31" t="s">
        <v>238</v>
      </c>
    </row>
    <row r="32" spans="1:4" ht="15" customHeight="1">
      <c r="A32" s="55">
        <v>46057</v>
      </c>
      <c r="B32" t="s">
        <v>220</v>
      </c>
      <c r="C32" s="82" t="s">
        <v>232</v>
      </c>
      <c r="D32" t="s">
        <v>239</v>
      </c>
    </row>
    <row r="33" spans="1:75" ht="15" customHeight="1">
      <c r="A33" s="55">
        <v>46042</v>
      </c>
      <c r="B33" t="s">
        <v>57</v>
      </c>
      <c r="C33" s="82" t="s">
        <v>232</v>
      </c>
      <c r="D33" t="s">
        <v>240</v>
      </c>
    </row>
    <row r="34" spans="1:75" ht="15" customHeight="1">
      <c r="A34" s="55">
        <v>46042</v>
      </c>
      <c r="B34" t="s">
        <v>61</v>
      </c>
      <c r="C34" s="82" t="s">
        <v>227</v>
      </c>
      <c r="D34" t="s">
        <v>241</v>
      </c>
    </row>
    <row r="35" spans="1:75" ht="15" customHeight="1">
      <c r="A35" s="55">
        <v>46038</v>
      </c>
      <c r="B35" t="s">
        <v>220</v>
      </c>
      <c r="C35" s="82" t="s">
        <v>227</v>
      </c>
      <c r="D35" t="s">
        <v>242</v>
      </c>
    </row>
    <row r="36" spans="1:75" ht="15" customHeight="1">
      <c r="A36" s="55">
        <v>46037</v>
      </c>
      <c r="B36" t="s">
        <v>61</v>
      </c>
      <c r="C36" s="82" t="s">
        <v>232</v>
      </c>
      <c r="D36" t="s">
        <v>243</v>
      </c>
    </row>
    <row r="39" spans="1:75">
      <c r="A39" s="117" t="s">
        <v>244</v>
      </c>
      <c r="C39"/>
    </row>
    <row r="40" spans="1:75">
      <c r="C40" s="78"/>
      <c r="H40" s="238" t="s">
        <v>245</v>
      </c>
      <c r="I40" s="239"/>
      <c r="J40" s="239"/>
      <c r="K40" s="239"/>
      <c r="L40" s="228"/>
      <c r="M40" s="228"/>
      <c r="N40" s="228"/>
      <c r="O40" s="228"/>
      <c r="P40" s="228"/>
      <c r="Q40" s="228"/>
      <c r="R40" s="228"/>
      <c r="S40" s="228"/>
      <c r="T40" s="229" t="s">
        <v>246</v>
      </c>
      <c r="U40" s="230"/>
      <c r="V40" s="230"/>
      <c r="W40" s="231"/>
      <c r="X40" s="239" t="s">
        <v>247</v>
      </c>
      <c r="Y40" s="239"/>
      <c r="Z40" s="239"/>
      <c r="AA40" s="239"/>
      <c r="AB40" s="228"/>
      <c r="AC40" s="228"/>
      <c r="AD40" s="228"/>
      <c r="AE40" s="228"/>
      <c r="AF40" s="228"/>
      <c r="AG40" s="228"/>
      <c r="AH40" s="228"/>
      <c r="AI40" s="228"/>
      <c r="AJ40" s="229" t="s">
        <v>248</v>
      </c>
      <c r="AK40" s="230"/>
      <c r="AL40" s="230"/>
      <c r="AM40" s="231"/>
      <c r="AN40" s="228" t="s">
        <v>249</v>
      </c>
      <c r="AO40" s="228"/>
      <c r="AP40" s="228"/>
      <c r="AQ40" s="228"/>
      <c r="AR40" s="228"/>
      <c r="AS40" s="228"/>
      <c r="AT40" s="228"/>
      <c r="AU40" s="228"/>
      <c r="AV40" s="228"/>
      <c r="AW40" s="228"/>
      <c r="AX40" s="228"/>
      <c r="AY40" s="228"/>
      <c r="AZ40" s="228"/>
      <c r="BA40" s="228"/>
      <c r="BB40" s="228"/>
      <c r="BC40" s="228"/>
      <c r="BD40" s="229" t="s">
        <v>250</v>
      </c>
      <c r="BE40" s="230"/>
      <c r="BF40" s="230"/>
      <c r="BG40" s="231"/>
      <c r="BH40" s="228" t="s">
        <v>251</v>
      </c>
      <c r="BI40" s="228"/>
      <c r="BJ40" s="228"/>
      <c r="BK40" s="228"/>
      <c r="BL40" s="228"/>
      <c r="BM40" s="228"/>
      <c r="BN40" s="228"/>
      <c r="BO40" s="228"/>
      <c r="BP40" s="228"/>
      <c r="BQ40" s="228"/>
      <c r="BR40" s="228"/>
      <c r="BS40" s="228"/>
      <c r="BT40" s="229" t="s">
        <v>252</v>
      </c>
      <c r="BU40" s="230"/>
      <c r="BV40" s="230"/>
      <c r="BW40" s="231"/>
    </row>
    <row r="41" spans="1:75">
      <c r="C41" s="78"/>
      <c r="D41" s="232" t="s">
        <v>253</v>
      </c>
      <c r="E41" s="233"/>
      <c r="F41" s="233"/>
      <c r="G41" s="233"/>
      <c r="H41" s="234" t="s">
        <v>254</v>
      </c>
      <c r="I41" s="235"/>
      <c r="J41" s="235"/>
      <c r="K41" s="236"/>
      <c r="L41" s="234" t="s">
        <v>43</v>
      </c>
      <c r="M41" s="235"/>
      <c r="N41" s="235"/>
      <c r="O41" s="236"/>
      <c r="P41" s="234" t="s">
        <v>44</v>
      </c>
      <c r="Q41" s="235"/>
      <c r="R41" s="235"/>
      <c r="S41" s="236"/>
      <c r="T41" s="234" t="s">
        <v>245</v>
      </c>
      <c r="U41" s="235"/>
      <c r="V41" s="235"/>
      <c r="W41" s="235"/>
      <c r="X41" s="232" t="s">
        <v>45</v>
      </c>
      <c r="Y41" s="233"/>
      <c r="Z41" s="233"/>
      <c r="AA41" s="237"/>
      <c r="AB41" s="232" t="s">
        <v>46</v>
      </c>
      <c r="AC41" s="233"/>
      <c r="AD41" s="233"/>
      <c r="AE41" s="237"/>
      <c r="AF41" s="232" t="s">
        <v>47</v>
      </c>
      <c r="AG41" s="233"/>
      <c r="AH41" s="233"/>
      <c r="AI41" s="237"/>
      <c r="AJ41" s="232" t="s">
        <v>247</v>
      </c>
      <c r="AK41" s="233"/>
      <c r="AL41" s="233"/>
      <c r="AM41" s="237"/>
      <c r="AN41" s="232" t="s">
        <v>48</v>
      </c>
      <c r="AO41" s="233"/>
      <c r="AP41" s="233"/>
      <c r="AQ41" s="237"/>
      <c r="AR41" s="232" t="s">
        <v>49</v>
      </c>
      <c r="AS41" s="233"/>
      <c r="AT41" s="233"/>
      <c r="AU41" s="233"/>
      <c r="AV41" s="233"/>
      <c r="AW41" s="237"/>
      <c r="AX41" s="232" t="s">
        <v>50</v>
      </c>
      <c r="AY41" s="233"/>
      <c r="AZ41" s="233"/>
      <c r="BA41" s="233"/>
      <c r="BB41" s="233"/>
      <c r="BC41" s="237"/>
      <c r="BD41" s="232" t="s">
        <v>249</v>
      </c>
      <c r="BE41" s="233"/>
      <c r="BF41" s="233"/>
      <c r="BG41" s="237"/>
      <c r="BH41" s="232" t="s">
        <v>51</v>
      </c>
      <c r="BI41" s="233"/>
      <c r="BJ41" s="233"/>
      <c r="BK41" s="237"/>
      <c r="BL41" s="232" t="s">
        <v>52</v>
      </c>
      <c r="BM41" s="233"/>
      <c r="BN41" s="233"/>
      <c r="BO41" s="237"/>
      <c r="BP41" s="232" t="s">
        <v>53</v>
      </c>
      <c r="BQ41" s="233"/>
      <c r="BR41" s="233"/>
      <c r="BS41" s="237"/>
      <c r="BT41" s="232" t="s">
        <v>251</v>
      </c>
      <c r="BU41" s="233"/>
      <c r="BV41" s="233"/>
      <c r="BW41" s="237"/>
    </row>
    <row r="42" spans="1:75">
      <c r="C42" s="78"/>
      <c r="D42" s="178" t="s">
        <v>255</v>
      </c>
      <c r="E42" s="179" t="s">
        <v>256</v>
      </c>
      <c r="F42" s="179" t="s">
        <v>27</v>
      </c>
      <c r="G42" s="180" t="s">
        <v>160</v>
      </c>
      <c r="H42" s="178" t="s">
        <v>255</v>
      </c>
      <c r="I42" s="179" t="s">
        <v>256</v>
      </c>
      <c r="J42" s="179" t="s">
        <v>27</v>
      </c>
      <c r="K42" s="181" t="s">
        <v>160</v>
      </c>
      <c r="L42" s="178" t="s">
        <v>255</v>
      </c>
      <c r="M42" s="179" t="s">
        <v>256</v>
      </c>
      <c r="N42" s="179" t="s">
        <v>27</v>
      </c>
      <c r="O42" s="181" t="s">
        <v>160</v>
      </c>
      <c r="P42" s="178" t="s">
        <v>255</v>
      </c>
      <c r="Q42" s="179" t="s">
        <v>256</v>
      </c>
      <c r="R42" s="179" t="s">
        <v>27</v>
      </c>
      <c r="S42" s="181" t="s">
        <v>160</v>
      </c>
      <c r="T42" s="178" t="s">
        <v>255</v>
      </c>
      <c r="U42" s="179" t="s">
        <v>256</v>
      </c>
      <c r="V42" s="179" t="s">
        <v>27</v>
      </c>
      <c r="W42" s="180" t="s">
        <v>160</v>
      </c>
      <c r="X42" s="178" t="s">
        <v>255</v>
      </c>
      <c r="Y42" s="179" t="s">
        <v>256</v>
      </c>
      <c r="Z42" s="179" t="s">
        <v>27</v>
      </c>
      <c r="AA42" s="181" t="s">
        <v>160</v>
      </c>
      <c r="AB42" s="178" t="s">
        <v>255</v>
      </c>
      <c r="AC42" s="179" t="s">
        <v>256</v>
      </c>
      <c r="AD42" s="179" t="s">
        <v>27</v>
      </c>
      <c r="AE42" s="181" t="s">
        <v>160</v>
      </c>
      <c r="AF42" s="178" t="s">
        <v>255</v>
      </c>
      <c r="AG42" s="179" t="s">
        <v>256</v>
      </c>
      <c r="AH42" s="179" t="s">
        <v>27</v>
      </c>
      <c r="AI42" s="181" t="s">
        <v>160</v>
      </c>
      <c r="AJ42" s="178" t="s">
        <v>255</v>
      </c>
      <c r="AK42" s="179" t="s">
        <v>256</v>
      </c>
      <c r="AL42" s="179" t="s">
        <v>27</v>
      </c>
      <c r="AM42" s="181" t="s">
        <v>160</v>
      </c>
      <c r="AN42" s="178" t="s">
        <v>255</v>
      </c>
      <c r="AO42" s="179" t="s">
        <v>256</v>
      </c>
      <c r="AP42" s="179" t="s">
        <v>27</v>
      </c>
      <c r="AQ42" s="181" t="s">
        <v>160</v>
      </c>
      <c r="AR42" s="178" t="s">
        <v>255</v>
      </c>
      <c r="AS42" s="179" t="s">
        <v>256</v>
      </c>
      <c r="AT42" s="178" t="s">
        <v>255</v>
      </c>
      <c r="AU42" s="179" t="s">
        <v>256</v>
      </c>
      <c r="AV42" s="179" t="s">
        <v>27</v>
      </c>
      <c r="AW42" s="181" t="s">
        <v>160</v>
      </c>
      <c r="AX42" s="178" t="s">
        <v>255</v>
      </c>
      <c r="AY42" s="179" t="s">
        <v>256</v>
      </c>
      <c r="AZ42" s="178" t="s">
        <v>255</v>
      </c>
      <c r="BA42" s="179" t="s">
        <v>256</v>
      </c>
      <c r="BB42" s="179" t="s">
        <v>27</v>
      </c>
      <c r="BC42" s="181" t="s">
        <v>160</v>
      </c>
      <c r="BD42" s="178" t="s">
        <v>255</v>
      </c>
      <c r="BE42" s="179" t="s">
        <v>256</v>
      </c>
      <c r="BF42" s="179" t="s">
        <v>27</v>
      </c>
      <c r="BG42" s="181" t="s">
        <v>160</v>
      </c>
      <c r="BH42" s="178" t="s">
        <v>255</v>
      </c>
      <c r="BI42" s="179" t="s">
        <v>256</v>
      </c>
      <c r="BJ42" s="179" t="s">
        <v>27</v>
      </c>
      <c r="BK42" s="181" t="s">
        <v>160</v>
      </c>
      <c r="BL42" s="178" t="s">
        <v>255</v>
      </c>
      <c r="BM42" s="179" t="s">
        <v>256</v>
      </c>
      <c r="BN42" s="179" t="s">
        <v>27</v>
      </c>
      <c r="BO42" s="181" t="s">
        <v>160</v>
      </c>
      <c r="BP42" s="178" t="s">
        <v>255</v>
      </c>
      <c r="BQ42" s="179" t="s">
        <v>256</v>
      </c>
      <c r="BR42" s="179" t="s">
        <v>27</v>
      </c>
      <c r="BS42" s="181" t="s">
        <v>160</v>
      </c>
      <c r="BT42" s="178" t="s">
        <v>255</v>
      </c>
      <c r="BU42" s="179" t="s">
        <v>256</v>
      </c>
      <c r="BV42" s="179" t="s">
        <v>27</v>
      </c>
      <c r="BW42" s="181" t="s">
        <v>160</v>
      </c>
    </row>
    <row r="43" spans="1:75">
      <c r="B43" s="182" t="s">
        <v>257</v>
      </c>
      <c r="C43" s="183" t="s">
        <v>56</v>
      </c>
      <c r="D43" s="184">
        <f>D44+D47+D48</f>
        <v>4823881</v>
      </c>
      <c r="E43" s="184"/>
      <c r="F43" s="184" t="e">
        <f>SUM(F44:F48)</f>
        <v>#VALUE!</v>
      </c>
      <c r="G43" s="184">
        <f>G44+G47+G48</f>
        <v>10213856</v>
      </c>
      <c r="H43" s="184">
        <f>H44+H47+H48</f>
        <v>791440</v>
      </c>
      <c r="I43" s="184">
        <f>I44+I47+I48</f>
        <v>709020</v>
      </c>
      <c r="J43" s="184">
        <f>SUM(J44:J48)</f>
        <v>0</v>
      </c>
      <c r="K43" s="184">
        <f>K44+K47+K48</f>
        <v>835500</v>
      </c>
      <c r="L43" s="184">
        <f>L44+L47+L48</f>
        <v>756347</v>
      </c>
      <c r="M43" s="184"/>
      <c r="N43" s="184">
        <f>SUM(N44:N48)</f>
        <v>0</v>
      </c>
      <c r="O43" s="184">
        <f>O44+O47+O48</f>
        <v>796000</v>
      </c>
      <c r="P43" s="184">
        <f>P44+P47+P48</f>
        <v>883938</v>
      </c>
      <c r="Q43" s="184"/>
      <c r="R43" s="184">
        <f>SUM(R44:R48)</f>
        <v>0</v>
      </c>
      <c r="S43" s="184">
        <f>S44+S47+S48</f>
        <v>938000</v>
      </c>
      <c r="T43" s="184">
        <f>T44+T47+T48</f>
        <v>2431725</v>
      </c>
      <c r="U43" s="184"/>
      <c r="V43" s="184">
        <f>SUM(V44:V48)</f>
        <v>0</v>
      </c>
      <c r="W43" s="184">
        <f>W44+W47+W48</f>
        <v>2569500</v>
      </c>
      <c r="X43" s="184">
        <f>X44+X47+X48</f>
        <v>879601</v>
      </c>
      <c r="Y43" s="184"/>
      <c r="Z43" s="184">
        <f>SUM(Z44:Z48)</f>
        <v>0</v>
      </c>
      <c r="AA43" s="184">
        <f>AA44+AA47+AA48</f>
        <v>803500</v>
      </c>
      <c r="AB43" s="184">
        <f>AB44+AB47+AB48</f>
        <v>745569</v>
      </c>
      <c r="AC43" s="184"/>
      <c r="AD43" s="184" t="e">
        <f>AD44+AD47+AD48</f>
        <v>#VALUE!</v>
      </c>
      <c r="AE43" s="184">
        <f>AE44+AE47+AE48</f>
        <v>745000</v>
      </c>
      <c r="AF43" s="184">
        <f>AF44+AF47+AF48</f>
        <v>766986</v>
      </c>
      <c r="AG43" s="184">
        <f>AG44+AG47+AG48</f>
        <v>727136</v>
      </c>
      <c r="AH43" s="184">
        <f>SUM(AH44:AH48)</f>
        <v>0</v>
      </c>
      <c r="AI43" s="184">
        <f>AI44+AI47+AI48</f>
        <v>743500</v>
      </c>
      <c r="AJ43" s="184">
        <f>AJ44+AJ47+AJ48</f>
        <v>2392156</v>
      </c>
      <c r="AK43" s="184"/>
      <c r="AL43" s="184">
        <f>SUM(AL44:AL48)</f>
        <v>0</v>
      </c>
      <c r="AM43" s="184">
        <f>AM44+AM47+AM48</f>
        <v>2292000</v>
      </c>
      <c r="AN43" s="184">
        <f>AN44+AN47+AN48</f>
        <v>782551</v>
      </c>
      <c r="AO43" s="184">
        <f>AO44+AO47+AO48</f>
        <v>714061</v>
      </c>
      <c r="AP43" s="184">
        <f>SUM(AP44:AP48)</f>
        <v>0</v>
      </c>
      <c r="AQ43" s="184">
        <f>AQ44+AQ47+AQ48</f>
        <v>759000</v>
      </c>
      <c r="AR43" s="185"/>
      <c r="AS43" s="184"/>
      <c r="AT43" s="184"/>
      <c r="AU43" s="184">
        <f>AU44+AU47+AU48</f>
        <v>1035795</v>
      </c>
      <c r="AV43" s="184">
        <f>SUM(AV44:AV48)</f>
        <v>0</v>
      </c>
      <c r="AW43" s="184">
        <f>AW44+AW47+AW48</f>
        <v>969651</v>
      </c>
      <c r="AX43" s="185"/>
      <c r="AY43" s="184"/>
      <c r="AZ43" s="184"/>
      <c r="BA43" s="184"/>
      <c r="BB43" s="184">
        <f>SUM(BB44:BB48)</f>
        <v>0</v>
      </c>
      <c r="BC43" s="184">
        <f>BC44+BC47+BC48</f>
        <v>944296</v>
      </c>
      <c r="BD43" s="185"/>
      <c r="BE43" s="184"/>
      <c r="BF43" s="184">
        <f>SUM(BF44:BF48)</f>
        <v>0</v>
      </c>
      <c r="BG43" s="184">
        <f>BG44+BG47+BG48</f>
        <v>2672947</v>
      </c>
      <c r="BH43" s="184">
        <f>BH44+BH47+BH48</f>
        <v>906023.02</v>
      </c>
      <c r="BI43" s="184"/>
      <c r="BJ43" s="184">
        <f>SUM(BJ44:BJ48)</f>
        <v>0</v>
      </c>
      <c r="BK43" s="184">
        <f>BK44+BK47+BK48</f>
        <v>878346</v>
      </c>
      <c r="BL43" s="185">
        <f>BL44+BL47+BL48</f>
        <v>945198.27</v>
      </c>
      <c r="BM43" s="184">
        <f>BM44+BM47+BM48</f>
        <v>862631</v>
      </c>
      <c r="BN43" s="184">
        <f>SUM(BN44:BN48)</f>
        <v>0</v>
      </c>
      <c r="BO43" s="184">
        <f>BO44+BO47+BO48</f>
        <v>914692</v>
      </c>
      <c r="BP43" s="185">
        <f>BP44+BP47+BP48</f>
        <v>964747</v>
      </c>
      <c r="BQ43" s="184"/>
      <c r="BR43" s="184">
        <f>SUM(BR44:BR48)</f>
        <v>0</v>
      </c>
      <c r="BS43" s="184">
        <f>BS44+BS47+BS48</f>
        <v>886371</v>
      </c>
      <c r="BT43" s="185"/>
      <c r="BU43" s="184"/>
      <c r="BV43" s="184">
        <f>SUM(BV44:BV48)</f>
        <v>0</v>
      </c>
      <c r="BW43" s="184">
        <f>BW44+BW47+BW48</f>
        <v>2679409</v>
      </c>
    </row>
    <row r="44" spans="1:75">
      <c r="B44" s="240" t="s">
        <v>56</v>
      </c>
      <c r="C44" s="186" t="s">
        <v>258</v>
      </c>
      <c r="D44" s="187">
        <f>SUM(T44+AJ44+BD44+BT44)</f>
        <v>2716044</v>
      </c>
      <c r="E44" s="187"/>
      <c r="F44" s="187" t="e">
        <f>SUM(V44+AL44+BF44+BV44)</f>
        <v>#VALUE!</v>
      </c>
      <c r="G44" s="187">
        <f>SUM(W44+AM44+BG44+BW44)</f>
        <v>5876971</v>
      </c>
      <c r="H44" s="188">
        <v>475862</v>
      </c>
      <c r="I44" s="187">
        <v>402792</v>
      </c>
      <c r="J44" s="187" t="str">
        <f>IFERROR(VLOOKUP($C44,[1]vlookup!$B:$N,2,FALSE),"")</f>
        <v/>
      </c>
      <c r="K44" s="189">
        <f>SUM(K45:K46)</f>
        <v>508000</v>
      </c>
      <c r="L44" s="188">
        <v>440769</v>
      </c>
      <c r="M44" s="187"/>
      <c r="N44" s="187" t="str">
        <f>IFERROR(VLOOKUP($C44,[1]vlookup!$B:$N,3,FALSE),"")</f>
        <v/>
      </c>
      <c r="O44" s="189">
        <f>SUM(O45:O46)</f>
        <v>462000</v>
      </c>
      <c r="P44" s="188">
        <v>523542</v>
      </c>
      <c r="Q44" s="187"/>
      <c r="R44" s="187" t="str">
        <f>IFERROR(VLOOKUP($C44,[1]vlookup!$B:$N,4,FALSE),"")</f>
        <v/>
      </c>
      <c r="S44" s="189">
        <f>SUM(S45:S46)</f>
        <v>563000</v>
      </c>
      <c r="T44" s="187">
        <f>IFERROR(SUM(H44+L44+P44),"")</f>
        <v>1440173</v>
      </c>
      <c r="U44" s="187"/>
      <c r="V44" s="187" t="str">
        <f t="shared" ref="V44:W48" si="0">IFERROR(SUM(J44+N44+R44),"")</f>
        <v/>
      </c>
      <c r="W44" s="187">
        <f t="shared" si="0"/>
        <v>1533000</v>
      </c>
      <c r="X44" s="188">
        <v>456408</v>
      </c>
      <c r="Y44" s="187"/>
      <c r="Z44" s="187" t="str">
        <f>IFERROR(VLOOKUP($C44,[1]vlookup!$B:$N,5,FALSE),"")</f>
        <v/>
      </c>
      <c r="AA44" s="189">
        <f>SUM(AA45:AA46)</f>
        <v>442500</v>
      </c>
      <c r="AB44" s="188">
        <v>413875</v>
      </c>
      <c r="AC44" s="187"/>
      <c r="AD44" s="187" t="str">
        <f>IFERROR(VLOOKUP($C44,[1]vlookup!$B:$N,6,FALSE),"")</f>
        <v/>
      </c>
      <c r="AE44" s="189">
        <f>AE45+AE46</f>
        <v>416000</v>
      </c>
      <c r="AF44" s="188">
        <f>SUM(AF45:AF46)</f>
        <v>405588</v>
      </c>
      <c r="AG44" s="188">
        <f>SUM(AG45:AG46)</f>
        <v>393059</v>
      </c>
      <c r="AH44" s="187" t="str">
        <f>IFERROR(VLOOKUP($C44,[1]vlookup!$B:$N,7,FALSE),"")</f>
        <v/>
      </c>
      <c r="AI44" s="189">
        <f>AI45+AI46</f>
        <v>404000</v>
      </c>
      <c r="AJ44" s="187">
        <f>IFERROR(SUM(X44+AB44+AF44),"")</f>
        <v>1275871</v>
      </c>
      <c r="AK44" s="187"/>
      <c r="AL44" s="187" t="str">
        <f t="shared" ref="AL44:AM48" si="1">IFERROR(SUM(Z44+AD44+AH44),"")</f>
        <v/>
      </c>
      <c r="AM44" s="187">
        <f t="shared" si="1"/>
        <v>1262500</v>
      </c>
      <c r="AN44" s="188">
        <v>413273</v>
      </c>
      <c r="AO44" s="187">
        <f>SUM(AO45:AO46)</f>
        <v>424318</v>
      </c>
      <c r="AP44" s="187" t="str">
        <f>IFERROR(VLOOKUP($C44,[1]vlookup!$B:$N,8,FALSE),"")</f>
        <v/>
      </c>
      <c r="AQ44" s="189">
        <f>AQ45+AQ46</f>
        <v>409000</v>
      </c>
      <c r="AR44" s="188"/>
      <c r="AS44" s="187"/>
      <c r="AT44" s="187">
        <f>SUM(AT45:AT46)</f>
        <v>487745</v>
      </c>
      <c r="AU44" s="187">
        <f>SUM(AU45:AU46)</f>
        <v>675234</v>
      </c>
      <c r="AV44" s="187" t="str">
        <f>IFERROR(VLOOKUP($C44,[1]vlookup!$B:$N,9,FALSE),"")</f>
        <v/>
      </c>
      <c r="AW44" s="189">
        <f>AW45+AW46</f>
        <v>582651</v>
      </c>
      <c r="AX44" s="188"/>
      <c r="AY44" s="187"/>
      <c r="AZ44" s="187">
        <f>SUM(AZ45:AZ46)</f>
        <v>584456</v>
      </c>
      <c r="BA44" s="187">
        <f>SUM(BA45:BA46)</f>
        <v>505913</v>
      </c>
      <c r="BB44" s="187" t="str">
        <f>IFERROR(VLOOKUP($C44,[1]vlookup!$B:$N,10,FALSE),"")</f>
        <v/>
      </c>
      <c r="BC44" s="189">
        <f>BC45+BC46</f>
        <v>564296</v>
      </c>
      <c r="BD44" s="188"/>
      <c r="BE44" s="187"/>
      <c r="BF44" s="187" t="str">
        <f>IFERROR(SUM(AP44+AV44+BB44),"")</f>
        <v/>
      </c>
      <c r="BG44" s="190">
        <f>IFERROR(SUM(AQ44+AW44+BC44),"")</f>
        <v>1555947</v>
      </c>
      <c r="BH44" s="188">
        <f>SUM(BH45:BH46)</f>
        <v>525518.02</v>
      </c>
      <c r="BI44" s="187"/>
      <c r="BJ44" s="187" t="str">
        <f>IFERROR(VLOOKUP($C44,[1]vlookup!$B:$N,11,FALSE),"")</f>
        <v/>
      </c>
      <c r="BK44" s="189">
        <f>BK45+BK46</f>
        <v>513346</v>
      </c>
      <c r="BL44" s="188">
        <f>SUM(BL45:BL46)</f>
        <v>499581.87</v>
      </c>
      <c r="BM44" s="187">
        <f>SUM(BM45:BM46)</f>
        <v>460439</v>
      </c>
      <c r="BN44" s="187" t="str">
        <f>IFERROR(VLOOKUP($C44,[1]vlookup!$B:$N,12,FALSE),"")</f>
        <v/>
      </c>
      <c r="BO44" s="189">
        <f>BO45+BO46</f>
        <v>522807</v>
      </c>
      <c r="BP44" s="188">
        <v>576820</v>
      </c>
      <c r="BQ44" s="187"/>
      <c r="BR44" s="187" t="str">
        <f>IFERROR(VLOOKUP($C44,[1]vlookup!$B:$N,13,FALSE),"")</f>
        <v/>
      </c>
      <c r="BS44" s="189">
        <f>BS45+BS46</f>
        <v>489371</v>
      </c>
      <c r="BT44" s="188"/>
      <c r="BU44" s="187"/>
      <c r="BV44" s="187" t="str">
        <f t="shared" ref="BV44:BW48" si="2">IFERROR(SUM(BJ44+BN44+BR44),"")</f>
        <v/>
      </c>
      <c r="BW44" s="187">
        <f t="shared" si="2"/>
        <v>1525524</v>
      </c>
    </row>
    <row r="45" spans="1:75">
      <c r="B45" s="241"/>
      <c r="C45" s="191" t="s">
        <v>259</v>
      </c>
      <c r="D45" s="187" t="s">
        <v>135</v>
      </c>
      <c r="E45" s="192"/>
      <c r="F45" s="192">
        <v>0</v>
      </c>
      <c r="G45" s="192">
        <v>0</v>
      </c>
      <c r="H45" s="193"/>
      <c r="I45" s="192"/>
      <c r="J45" s="192" t="str">
        <f>IFERROR(VLOOKUP($C45,[1]vlookup!$B:$N,2,FALSE),"")</f>
        <v/>
      </c>
      <c r="K45" s="194">
        <v>462000</v>
      </c>
      <c r="L45" s="195">
        <f>440769-52038</f>
        <v>388731</v>
      </c>
      <c r="M45" s="192"/>
      <c r="N45" s="192" t="str">
        <f>IFERROR(VLOOKUP($C45,[1]vlookup!$B:$N,3,FALSE),"")</f>
        <v/>
      </c>
      <c r="O45" s="196">
        <v>415000</v>
      </c>
      <c r="P45" s="193"/>
      <c r="Q45" s="192"/>
      <c r="R45" s="192" t="str">
        <f>IFERROR(VLOOKUP($C45,[1]vlookup!$B:$N,4,FALSE),"")</f>
        <v/>
      </c>
      <c r="S45" s="196">
        <v>490000</v>
      </c>
      <c r="T45" s="192">
        <f>IFERROR(SUM(H45+L45+P45),"")</f>
        <v>388731</v>
      </c>
      <c r="U45" s="192"/>
      <c r="V45" s="192" t="str">
        <f t="shared" si="0"/>
        <v/>
      </c>
      <c r="W45" s="192">
        <f t="shared" si="0"/>
        <v>1367000</v>
      </c>
      <c r="X45" s="193"/>
      <c r="Y45" s="192"/>
      <c r="Z45" s="192" t="str">
        <f>IFERROR(VLOOKUP($C45,[1]vlookup!$B:$N,5,FALSE),"")</f>
        <v/>
      </c>
      <c r="AA45" s="196">
        <v>412000</v>
      </c>
      <c r="AB45" s="193" t="s">
        <v>135</v>
      </c>
      <c r="AC45" s="192"/>
      <c r="AD45" s="192" t="str">
        <f>IFERROR(VLOOKUP($C45,[1]vlookup!$B:$N,6,FALSE),"")</f>
        <v/>
      </c>
      <c r="AE45" s="194">
        <v>396000</v>
      </c>
      <c r="AF45" s="193">
        <f>405588-22526-4998</f>
        <v>378064</v>
      </c>
      <c r="AG45" s="192">
        <f>378768</f>
        <v>378768</v>
      </c>
      <c r="AH45" s="192" t="s">
        <v>135</v>
      </c>
      <c r="AI45" s="194">
        <v>391000</v>
      </c>
      <c r="AJ45" s="192" t="str">
        <f>IFERROR(SUM(X45+AB45+AF45),"")</f>
        <v/>
      </c>
      <c r="AK45" s="192"/>
      <c r="AL45" s="192" t="str">
        <f t="shared" si="1"/>
        <v/>
      </c>
      <c r="AM45" s="192">
        <f t="shared" si="1"/>
        <v>1199000</v>
      </c>
      <c r="AN45" s="193">
        <v>389114.8</v>
      </c>
      <c r="AO45" s="192">
        <v>383630</v>
      </c>
      <c r="AP45" s="192"/>
      <c r="AQ45" s="192">
        <v>385000</v>
      </c>
      <c r="AR45" s="193"/>
      <c r="AS45" s="192"/>
      <c r="AT45" s="193">
        <v>410924</v>
      </c>
      <c r="AU45" s="192">
        <f>396717</f>
        <v>396717</v>
      </c>
      <c r="AV45" s="192" t="str">
        <f>IFERROR(VLOOKUP($C45,[1]vlookup!$B:$N,9,FALSE),"")</f>
        <v/>
      </c>
      <c r="AW45" s="194">
        <v>472318</v>
      </c>
      <c r="AX45" s="193"/>
      <c r="AY45" s="192"/>
      <c r="AZ45" s="192">
        <v>450960</v>
      </c>
      <c r="BA45" s="192">
        <v>434683</v>
      </c>
      <c r="BB45" s="192" t="str">
        <f>IFERROR(VLOOKUP($C45,[1]vlookup!$B:$N,10,FALSE),"")</f>
        <v/>
      </c>
      <c r="BC45" s="194">
        <v>441841</v>
      </c>
      <c r="BD45" s="193"/>
      <c r="BE45" s="192"/>
      <c r="BF45" s="192" t="str">
        <f>IFERROR(SUM(AQ45+AV45+BB45),"")</f>
        <v/>
      </c>
      <c r="BG45" s="197" t="str">
        <f>IFERROR(SUM(#REF!+AW45+BC45),"")</f>
        <v/>
      </c>
      <c r="BH45" s="193">
        <v>445178.6</v>
      </c>
      <c r="BI45" s="192"/>
      <c r="BJ45" s="192" t="str">
        <f>IFERROR(VLOOKUP($C45,[1]vlookup!$B:$N,11,FALSE),"")</f>
        <v/>
      </c>
      <c r="BK45" s="194">
        <f>437635+10000</f>
        <v>447635</v>
      </c>
      <c r="BL45" s="193">
        <v>431804.26</v>
      </c>
      <c r="BM45" s="192">
        <v>420856</v>
      </c>
      <c r="BN45" s="192" t="str">
        <f>IFERROR(VLOOKUP($C45,[1]vlookup!$B:$N,12,FALSE),"")</f>
        <v/>
      </c>
      <c r="BO45" s="194">
        <f>427047+20000+3000</f>
        <v>450047</v>
      </c>
      <c r="BP45" s="193"/>
      <c r="BQ45" s="192"/>
      <c r="BR45" s="192" t="str">
        <f>IFERROR(VLOOKUP($C45,[1]vlookup!$B:$N,13,FALSE),"")</f>
        <v/>
      </c>
      <c r="BS45" s="194">
        <f>417812+20000-10000-4000+4000</f>
        <v>427812</v>
      </c>
      <c r="BT45" s="193"/>
      <c r="BU45" s="192"/>
      <c r="BV45" s="192" t="str">
        <f t="shared" si="2"/>
        <v/>
      </c>
      <c r="BW45" s="192">
        <f t="shared" si="2"/>
        <v>1325494</v>
      </c>
    </row>
    <row r="46" spans="1:75">
      <c r="B46" s="241"/>
      <c r="C46" s="191" t="s">
        <v>260</v>
      </c>
      <c r="D46" s="187" t="s">
        <v>135</v>
      </c>
      <c r="E46" s="192"/>
      <c r="F46" s="192">
        <v>0</v>
      </c>
      <c r="G46" s="192">
        <v>0</v>
      </c>
      <c r="H46" s="193"/>
      <c r="I46" s="192"/>
      <c r="J46" s="192" t="str">
        <f>IFERROR(VLOOKUP($C46,[1]vlookup!$B:$N,2,FALSE),"")</f>
        <v/>
      </c>
      <c r="K46" s="194">
        <v>46000</v>
      </c>
      <c r="L46" s="195">
        <v>52038</v>
      </c>
      <c r="M46" s="192"/>
      <c r="N46" s="192" t="str">
        <f>IFERROR(VLOOKUP($C46,[1]vlookup!$B:$N,3,FALSE),"")</f>
        <v/>
      </c>
      <c r="O46" s="194">
        <v>47000</v>
      </c>
      <c r="P46" s="193"/>
      <c r="Q46" s="192"/>
      <c r="R46" s="192" t="str">
        <f>IFERROR(VLOOKUP($C46,[1]vlookup!$B:$N,4,FALSE),"")</f>
        <v/>
      </c>
      <c r="S46" s="194">
        <v>73000</v>
      </c>
      <c r="T46" s="192">
        <f>IFERROR(SUM(H46+L46+P46),"")</f>
        <v>52038</v>
      </c>
      <c r="U46" s="192"/>
      <c r="V46" s="192" t="str">
        <f t="shared" si="0"/>
        <v/>
      </c>
      <c r="W46" s="192">
        <f t="shared" si="0"/>
        <v>166000</v>
      </c>
      <c r="X46" s="193"/>
      <c r="Y46" s="192"/>
      <c r="Z46" s="192" t="str">
        <f>IFERROR(VLOOKUP($C46,[1]vlookup!$B:$N,5,FALSE),"")</f>
        <v/>
      </c>
      <c r="AA46" s="196">
        <v>30500</v>
      </c>
      <c r="AB46" s="193"/>
      <c r="AC46" s="192"/>
      <c r="AD46" s="192" t="str">
        <f>IFERROR(VLOOKUP($C46,[1]vlookup!$B:$N,6,FALSE),"")</f>
        <v/>
      </c>
      <c r="AE46" s="194">
        <v>20000</v>
      </c>
      <c r="AF46" s="193">
        <f>22526+4998</f>
        <v>27524</v>
      </c>
      <c r="AG46" s="192">
        <v>14291</v>
      </c>
      <c r="AH46" s="192" t="s">
        <v>135</v>
      </c>
      <c r="AI46" s="194">
        <v>13000</v>
      </c>
      <c r="AJ46" s="192">
        <f>IFERROR(SUM(X46+AB46+AF46),"")</f>
        <v>27524</v>
      </c>
      <c r="AK46" s="192"/>
      <c r="AL46" s="192" t="str">
        <f t="shared" si="1"/>
        <v/>
      </c>
      <c r="AM46" s="192">
        <f t="shared" si="1"/>
        <v>63500</v>
      </c>
      <c r="AN46" s="193">
        <f>24158.53</f>
        <v>24158.53</v>
      </c>
      <c r="AO46" s="192">
        <v>40688</v>
      </c>
      <c r="AP46" s="192"/>
      <c r="AQ46" s="192">
        <v>24000</v>
      </c>
      <c r="AR46" s="193"/>
      <c r="AS46" s="192"/>
      <c r="AT46" s="193">
        <v>76821</v>
      </c>
      <c r="AU46" s="192">
        <v>278517</v>
      </c>
      <c r="AV46" s="192" t="str">
        <f>IFERROR(VLOOKUP($C46,[1]vlookup!$B:$N,9,FALSE),"")</f>
        <v/>
      </c>
      <c r="AW46" s="194">
        <v>110333</v>
      </c>
      <c r="AX46" s="193"/>
      <c r="AY46" s="192"/>
      <c r="AZ46" s="192">
        <v>133496</v>
      </c>
      <c r="BA46" s="192">
        <v>71230</v>
      </c>
      <c r="BB46" s="192" t="str">
        <f>IFERROR(VLOOKUP($C46,[1]vlookup!$B:$N,10,FALSE),"")</f>
        <v/>
      </c>
      <c r="BC46" s="194">
        <v>122455</v>
      </c>
      <c r="BD46" s="193"/>
      <c r="BE46" s="192"/>
      <c r="BF46" s="192" t="str">
        <f>IFERROR(SUM(AQ46+AV46+BB46),"")</f>
        <v/>
      </c>
      <c r="BG46" s="197" t="str">
        <f>IFERROR(SUM(#REF!+AW46+BC46),"")</f>
        <v/>
      </c>
      <c r="BH46" s="193">
        <v>80339.42</v>
      </c>
      <c r="BI46" s="192"/>
      <c r="BJ46" s="192" t="str">
        <f>IFERROR(VLOOKUP($C46,[1]vlookup!$B:$N,11,FALSE),"")</f>
        <v/>
      </c>
      <c r="BK46" s="194">
        <f>115711-30000-20000</f>
        <v>65711</v>
      </c>
      <c r="BL46" s="193">
        <v>67777.61</v>
      </c>
      <c r="BM46" s="192">
        <v>39583</v>
      </c>
      <c r="BN46" s="192" t="str">
        <f>IFERROR(VLOOKUP($C46,[1]vlookup!$B:$N,12,FALSE),"")</f>
        <v/>
      </c>
      <c r="BO46" s="194">
        <f>135760-30000-30000-3000</f>
        <v>72760</v>
      </c>
      <c r="BP46" s="193"/>
      <c r="BQ46" s="192"/>
      <c r="BR46" s="192" t="str">
        <f>IFERROR(VLOOKUP($C46,[1]vlookup!$B:$N,13,FALSE),"")</f>
        <v/>
      </c>
      <c r="BS46" s="194">
        <f>96559-15000-10000-5000-5000</f>
        <v>61559</v>
      </c>
      <c r="BT46" s="193"/>
      <c r="BU46" s="192"/>
      <c r="BV46" s="192" t="str">
        <f t="shared" si="2"/>
        <v/>
      </c>
      <c r="BW46" s="192">
        <f t="shared" si="2"/>
        <v>200030</v>
      </c>
    </row>
    <row r="47" spans="1:75">
      <c r="B47" s="241"/>
      <c r="C47" s="198" t="s">
        <v>261</v>
      </c>
      <c r="D47" s="199">
        <f>SUM(T47+AJ47+BD47+BT47)</f>
        <v>514141</v>
      </c>
      <c r="E47" s="199"/>
      <c r="F47" s="199" t="e">
        <f>SUM(V47+AL47+BF47+BV47)</f>
        <v>#VALUE!</v>
      </c>
      <c r="G47" s="199">
        <f>SUM(W47+AM47+BG47+BW47)</f>
        <v>1148500</v>
      </c>
      <c r="H47" s="200">
        <v>59327</v>
      </c>
      <c r="I47" s="199">
        <v>38138</v>
      </c>
      <c r="J47" s="201" t="str">
        <f>IFERROR(VLOOKUP($C47,[1]vlookup!$B:$N,2,FALSE),"")</f>
        <v/>
      </c>
      <c r="K47" s="202">
        <v>64500</v>
      </c>
      <c r="L47" s="200">
        <v>59327</v>
      </c>
      <c r="M47" s="199">
        <v>46880</v>
      </c>
      <c r="N47" s="199" t="str">
        <f>IFERROR(VLOOKUP($C47,[1]vlookup!$B:$N,3,FALSE),"")</f>
        <v/>
      </c>
      <c r="O47" s="202">
        <v>71000</v>
      </c>
      <c r="P47" s="200">
        <v>106033</v>
      </c>
      <c r="Q47" s="199">
        <v>88989</v>
      </c>
      <c r="R47" s="199" t="str">
        <f>IFERROR(VLOOKUP($C47,[1]vlookup!$B:$N,4,FALSE),"")</f>
        <v/>
      </c>
      <c r="S47" s="202">
        <v>105000</v>
      </c>
      <c r="T47" s="199">
        <f>IFERROR(SUM(H47+L47+P47),"")</f>
        <v>224687</v>
      </c>
      <c r="U47" s="199"/>
      <c r="V47" s="199" t="str">
        <f t="shared" si="0"/>
        <v/>
      </c>
      <c r="W47" s="199">
        <f t="shared" si="0"/>
        <v>240500</v>
      </c>
      <c r="X47" s="200">
        <v>132876</v>
      </c>
      <c r="Y47" s="199">
        <v>75527</v>
      </c>
      <c r="Z47" s="199" t="str">
        <f>IFERROR(VLOOKUP($C47,[1]vlookup!$B:$N,5,FALSE),"")</f>
        <v/>
      </c>
      <c r="AA47" s="202">
        <v>110000</v>
      </c>
      <c r="AB47" s="200">
        <v>65347</v>
      </c>
      <c r="AC47" s="199"/>
      <c r="AD47" s="199" t="str">
        <f>IFERROR(VLOOKUP($C47,[1]vlookup!$B:$N,6,FALSE),"")</f>
        <v/>
      </c>
      <c r="AE47" s="202">
        <v>68000</v>
      </c>
      <c r="AF47" s="200">
        <v>91231</v>
      </c>
      <c r="AG47" s="199">
        <v>63024</v>
      </c>
      <c r="AH47" s="199" t="str">
        <f>IFERROR(VLOOKUP($C47,[1]vlookup!$B:$N,7,FALSE),"")</f>
        <v/>
      </c>
      <c r="AI47" s="202">
        <v>76000</v>
      </c>
      <c r="AJ47" s="199">
        <f>IFERROR(SUM(X47+AB47+AF47),"")</f>
        <v>289454</v>
      </c>
      <c r="AK47" s="199"/>
      <c r="AL47" s="199" t="str">
        <f t="shared" si="1"/>
        <v/>
      </c>
      <c r="AM47" s="199">
        <f t="shared" si="1"/>
        <v>254000</v>
      </c>
      <c r="AN47" s="200">
        <v>112099</v>
      </c>
      <c r="AO47" s="199">
        <v>45098</v>
      </c>
      <c r="AP47" s="199" t="str">
        <f>IFERROR(VLOOKUP($C47,[1]vlookup!$B:$N,8,FALSE),"")</f>
        <v/>
      </c>
      <c r="AQ47" s="202">
        <v>80000</v>
      </c>
      <c r="AR47" s="200"/>
      <c r="AS47" s="199"/>
      <c r="AT47" s="199">
        <v>111648</v>
      </c>
      <c r="AU47" s="199">
        <v>84374</v>
      </c>
      <c r="AV47" s="199" t="str">
        <f>IFERROR(VLOOKUP($C47,[1]vlookup!$B:$N,9,FALSE),"")</f>
        <v/>
      </c>
      <c r="AW47" s="202">
        <v>107000</v>
      </c>
      <c r="AX47" s="200"/>
      <c r="AY47" s="199"/>
      <c r="AZ47" s="199">
        <v>100896</v>
      </c>
      <c r="BA47" s="199">
        <v>75583</v>
      </c>
      <c r="BB47" s="199" t="str">
        <f>IFERROR(VLOOKUP($C47,[1]vlookup!$B:$N,10,FALSE),"")</f>
        <v/>
      </c>
      <c r="BC47" s="202">
        <v>110000</v>
      </c>
      <c r="BD47" s="200"/>
      <c r="BE47" s="199"/>
      <c r="BF47" s="199" t="str">
        <f>IFERROR(SUM(AP47+AV47+BB47),"")</f>
        <v/>
      </c>
      <c r="BG47" s="203">
        <f>IFERROR(SUM(AQ47+AW47+BC47),"")</f>
        <v>297000</v>
      </c>
      <c r="BH47" s="200">
        <v>121544</v>
      </c>
      <c r="BI47" s="199">
        <v>66566</v>
      </c>
      <c r="BJ47" s="199" t="str">
        <f>IFERROR(VLOOKUP($C47,[1]vlookup!$B:$N,11,FALSE),"")</f>
        <v/>
      </c>
      <c r="BK47" s="202">
        <v>105000</v>
      </c>
      <c r="BL47" s="200">
        <v>180968.4</v>
      </c>
      <c r="BM47" s="199">
        <v>109778</v>
      </c>
      <c r="BN47" s="199" t="str">
        <f>IFERROR(VLOOKUP($C47,[1]vlookup!$B:$N,12,FALSE),"")</f>
        <v/>
      </c>
      <c r="BO47" s="202">
        <v>125000</v>
      </c>
      <c r="BP47" s="200">
        <v>122897</v>
      </c>
      <c r="BQ47" s="199"/>
      <c r="BR47" s="199" t="str">
        <f>IFERROR(VLOOKUP($C47,[1]vlookup!$B:$N,13,FALSE),"")</f>
        <v/>
      </c>
      <c r="BS47" s="202">
        <v>127000</v>
      </c>
      <c r="BT47" s="200"/>
      <c r="BU47" s="199"/>
      <c r="BV47" s="199" t="str">
        <f t="shared" si="2"/>
        <v/>
      </c>
      <c r="BW47" s="199">
        <f t="shared" si="2"/>
        <v>357000</v>
      </c>
    </row>
    <row r="48" spans="1:75">
      <c r="B48" s="242"/>
      <c r="C48" s="204" t="s">
        <v>262</v>
      </c>
      <c r="D48" s="205">
        <f>SUM(T48+AJ48+BD48+BT48)</f>
        <v>1593696</v>
      </c>
      <c r="E48" s="205"/>
      <c r="F48" s="205" t="e">
        <f>SUM(V48+AL48+BF48+BV48)</f>
        <v>#VALUE!</v>
      </c>
      <c r="G48" s="205">
        <f>SUM(W48+AM48+BG48+BW48)</f>
        <v>3188385</v>
      </c>
      <c r="H48" s="206">
        <v>256251</v>
      </c>
      <c r="I48" s="205">
        <v>268090</v>
      </c>
      <c r="J48" s="207" t="str">
        <f>IFERROR(VLOOKUP($C48,[1]vlookup!$B:$N,2,FALSE),"")</f>
        <v/>
      </c>
      <c r="K48" s="208">
        <v>263000</v>
      </c>
      <c r="L48" s="206">
        <v>256251</v>
      </c>
      <c r="M48" s="205"/>
      <c r="N48" s="205" t="str">
        <f>IFERROR(VLOOKUP($C48,[1]vlookup!$B:$N,3,FALSE),"")</f>
        <v/>
      </c>
      <c r="O48" s="208">
        <v>263000</v>
      </c>
      <c r="P48" s="206">
        <v>254363</v>
      </c>
      <c r="Q48" s="205"/>
      <c r="R48" s="205" t="str">
        <f>IFERROR(VLOOKUP($C48,[1]vlookup!$B:$N,4,FALSE),"")</f>
        <v/>
      </c>
      <c r="S48" s="208">
        <v>270000</v>
      </c>
      <c r="T48" s="205">
        <f>IFERROR(SUM(H48+L48+P48),"")</f>
        <v>766865</v>
      </c>
      <c r="U48" s="205"/>
      <c r="V48" s="205" t="str">
        <f t="shared" si="0"/>
        <v/>
      </c>
      <c r="W48" s="205">
        <f t="shared" si="0"/>
        <v>796000</v>
      </c>
      <c r="X48" s="206">
        <v>290317</v>
      </c>
      <c r="Y48" s="205"/>
      <c r="Z48" s="205" t="str">
        <f>IFERROR(VLOOKUP($C48,[1]vlookup!$B:$N,5,FALSE),"")</f>
        <v/>
      </c>
      <c r="AA48" s="209">
        <v>251000</v>
      </c>
      <c r="AB48" s="206">
        <v>266347</v>
      </c>
      <c r="AC48" s="205"/>
      <c r="AD48" s="205" t="str">
        <f>IFERROR(VLOOKUP($C48,[1]vlookup!$B:$N,6,FALSE),"")</f>
        <v/>
      </c>
      <c r="AE48" s="208">
        <v>261000</v>
      </c>
      <c r="AF48" s="206">
        <v>270167</v>
      </c>
      <c r="AG48" s="205">
        <v>271053</v>
      </c>
      <c r="AH48" s="205" t="str">
        <f>IFERROR(VLOOKUP($C48,[1]vlookup!$B:$N,7,FALSE),"")</f>
        <v/>
      </c>
      <c r="AI48" s="208">
        <v>263500</v>
      </c>
      <c r="AJ48" s="205">
        <f>IFERROR(SUM(X48+AB48+AF48),"")</f>
        <v>826831</v>
      </c>
      <c r="AK48" s="205"/>
      <c r="AL48" s="205" t="str">
        <f t="shared" si="1"/>
        <v/>
      </c>
      <c r="AM48" s="205">
        <f t="shared" si="1"/>
        <v>775500</v>
      </c>
      <c r="AN48" s="206">
        <v>257179</v>
      </c>
      <c r="AO48" s="205">
        <v>244645</v>
      </c>
      <c r="AP48" s="205" t="str">
        <f>IFERROR(VLOOKUP($C48,[1]vlookup!$B:$N,8,FALSE),"")</f>
        <v/>
      </c>
      <c r="AQ48" s="208">
        <v>270000</v>
      </c>
      <c r="AR48" s="206"/>
      <c r="AS48" s="205"/>
      <c r="AT48" s="205">
        <v>258775</v>
      </c>
      <c r="AU48" s="205">
        <v>276187</v>
      </c>
      <c r="AV48" s="205" t="str">
        <f>IFERROR(VLOOKUP($C48,[1]vlookup!$B:$N,9,FALSE),"")</f>
        <v/>
      </c>
      <c r="AW48" s="208">
        <v>280000</v>
      </c>
      <c r="AX48" s="206"/>
      <c r="AY48" s="205"/>
      <c r="AZ48" s="205">
        <v>270036</v>
      </c>
      <c r="BA48" s="205">
        <v>253651</v>
      </c>
      <c r="BB48" s="205" t="str">
        <f>IFERROR(VLOOKUP($C48,[1]vlookup!$B:$N,10,FALSE),"")</f>
        <v/>
      </c>
      <c r="BC48" s="208">
        <v>270000</v>
      </c>
      <c r="BD48" s="206"/>
      <c r="BE48" s="205"/>
      <c r="BF48" s="205" t="str">
        <f>IFERROR(SUM(AP48+AV48+BB48),"")</f>
        <v/>
      </c>
      <c r="BG48" s="210">
        <f>IFERROR(SUM(AQ48+AW48+BC48),"")</f>
        <v>820000</v>
      </c>
      <c r="BH48" s="206">
        <v>258961</v>
      </c>
      <c r="BI48" s="205"/>
      <c r="BJ48" s="205" t="str">
        <f>IFERROR(VLOOKUP($C48,[1]vlookup!$B:$N,11,FALSE),"")</f>
        <v/>
      </c>
      <c r="BK48" s="208">
        <f>275000-15000</f>
        <v>260000</v>
      </c>
      <c r="BL48" s="206">
        <v>264648</v>
      </c>
      <c r="BM48" s="205">
        <v>292414</v>
      </c>
      <c r="BN48" s="205" t="str">
        <f>IFERROR(VLOOKUP($C48,[1]vlookup!$B:$N,12,FALSE),"")</f>
        <v/>
      </c>
      <c r="BO48" s="208">
        <f>282000-5115-5000-5000</f>
        <v>266885</v>
      </c>
      <c r="BP48" s="206">
        <v>265030</v>
      </c>
      <c r="BQ48" s="205"/>
      <c r="BR48" s="205" t="str">
        <f>IFERROR(VLOOKUP($C48,[1]vlookup!$B:$N,13,FALSE),"")</f>
        <v/>
      </c>
      <c r="BS48" s="208">
        <f>284000-14000</f>
        <v>270000</v>
      </c>
      <c r="BT48" s="206"/>
      <c r="BU48" s="205"/>
      <c r="BV48" s="205" t="str">
        <f t="shared" si="2"/>
        <v/>
      </c>
      <c r="BW48" s="205">
        <f t="shared" si="2"/>
        <v>796885</v>
      </c>
    </row>
    <row r="49" spans="3:31">
      <c r="C49"/>
      <c r="S49" s="129"/>
      <c r="AE49" s="129" t="s">
        <v>135</v>
      </c>
    </row>
  </sheetData>
  <mergeCells count="26">
    <mergeCell ref="BL41:BO41"/>
    <mergeCell ref="BP41:BS41"/>
    <mergeCell ref="BT41:BW41"/>
    <mergeCell ref="B44:B48"/>
    <mergeCell ref="AJ41:AM41"/>
    <mergeCell ref="AN41:AQ41"/>
    <mergeCell ref="AR41:AW41"/>
    <mergeCell ref="AX41:BC41"/>
    <mergeCell ref="BD41:BG41"/>
    <mergeCell ref="BH41:BK41"/>
    <mergeCell ref="BH40:BS40"/>
    <mergeCell ref="BT40:BW40"/>
    <mergeCell ref="D41:G41"/>
    <mergeCell ref="H41:K41"/>
    <mergeCell ref="L41:O41"/>
    <mergeCell ref="P41:S41"/>
    <mergeCell ref="T41:W41"/>
    <mergeCell ref="X41:AA41"/>
    <mergeCell ref="AB41:AE41"/>
    <mergeCell ref="AF41:AI41"/>
    <mergeCell ref="H40:S40"/>
    <mergeCell ref="T40:W40"/>
    <mergeCell ref="X40:AI40"/>
    <mergeCell ref="AJ40:AM40"/>
    <mergeCell ref="AN40:BC40"/>
    <mergeCell ref="BD40:BG4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O117"/>
  <sheetViews>
    <sheetView showGridLines="0" zoomScale="90" zoomScaleNormal="90" workbookViewId="0">
      <pane xSplit="2" ySplit="3" topLeftCell="C4" activePane="bottomRight" state="frozen"/>
      <selection pane="bottomRight" activeCell="H16" sqref="H16"/>
      <selection pane="bottomLeft" activeCell="V31" sqref="V31"/>
      <selection pane="topRight" activeCell="V31" sqref="V31"/>
    </sheetView>
    <sheetView topLeftCell="A79" workbookViewId="1">
      <selection activeCell="C104" sqref="C104"/>
    </sheetView>
  </sheetViews>
  <sheetFormatPr defaultColWidth="8.7109375" defaultRowHeight="15"/>
  <cols>
    <col min="1" max="1" width="24" customWidth="1"/>
    <col min="2" max="2" width="16" customWidth="1"/>
    <col min="3" max="14" width="11.42578125" customWidth="1"/>
    <col min="15" max="15" width="13" customWidth="1"/>
  </cols>
  <sheetData>
    <row r="1" spans="1:15" ht="23.1">
      <c r="A1" s="211" t="s">
        <v>263</v>
      </c>
      <c r="B1" s="211"/>
      <c r="C1" s="211"/>
      <c r="D1" s="211"/>
      <c r="E1" s="211"/>
      <c r="F1" s="211"/>
      <c r="G1" s="211"/>
      <c r="H1" s="211"/>
      <c r="I1" s="211"/>
      <c r="J1" s="211"/>
      <c r="K1" s="211"/>
      <c r="L1" s="211"/>
      <c r="M1" s="211"/>
      <c r="N1" s="211"/>
      <c r="O1" s="211"/>
    </row>
    <row r="2" spans="1:15" s="54" customFormat="1" ht="24" customHeight="1">
      <c r="A2" s="243" t="s">
        <v>193</v>
      </c>
      <c r="B2" s="243"/>
      <c r="C2" s="243"/>
      <c r="D2" s="243"/>
      <c r="E2" s="243"/>
      <c r="F2" s="243"/>
      <c r="G2" s="243"/>
      <c r="H2" s="243"/>
      <c r="I2" s="243"/>
      <c r="J2" s="243"/>
      <c r="K2" s="243"/>
      <c r="L2" s="243"/>
      <c r="M2" s="243"/>
      <c r="N2" s="243"/>
      <c r="O2" s="243"/>
    </row>
    <row r="3" spans="1:15" ht="15.95" thickBot="1">
      <c r="A3" s="38" t="s">
        <v>40</v>
      </c>
      <c r="B3" s="38" t="s">
        <v>41</v>
      </c>
      <c r="C3" s="38" t="s">
        <v>42</v>
      </c>
      <c r="D3" s="38" t="s">
        <v>43</v>
      </c>
      <c r="E3" s="38" t="s">
        <v>44</v>
      </c>
      <c r="F3" s="38" t="s">
        <v>45</v>
      </c>
      <c r="G3" s="38" t="s">
        <v>46</v>
      </c>
      <c r="H3" s="38" t="s">
        <v>47</v>
      </c>
      <c r="I3" s="38" t="s">
        <v>48</v>
      </c>
      <c r="J3" s="38" t="s">
        <v>49</v>
      </c>
      <c r="K3" s="38" t="s">
        <v>50</v>
      </c>
      <c r="L3" s="38" t="s">
        <v>51</v>
      </c>
      <c r="M3" s="38" t="s">
        <v>52</v>
      </c>
      <c r="N3" s="38" t="s">
        <v>53</v>
      </c>
      <c r="O3" s="38" t="s">
        <v>54</v>
      </c>
    </row>
    <row r="4" spans="1:15">
      <c r="A4" s="39" t="s">
        <v>67</v>
      </c>
      <c r="B4" s="40" t="s">
        <v>194</v>
      </c>
      <c r="C4" s="41">
        <f>'Forecast Input'!D14</f>
        <v>-3260.215549</v>
      </c>
      <c r="D4" s="41">
        <f>'Forecast Input'!E14</f>
        <v>44660</v>
      </c>
      <c r="E4" s="41">
        <f>'Forecast Input'!F14</f>
        <v>2249</v>
      </c>
      <c r="F4" s="41">
        <f>'Forecast Input'!G14</f>
        <v>0</v>
      </c>
      <c r="G4" s="41">
        <f>'Forecast Input'!H14</f>
        <v>0</v>
      </c>
      <c r="H4" s="41">
        <f>'Forecast Input'!I14</f>
        <v>0</v>
      </c>
      <c r="I4" s="41">
        <f>'Forecast Input'!J14</f>
        <v>0</v>
      </c>
      <c r="J4" s="41">
        <f>'Forecast Input'!K14</f>
        <v>0</v>
      </c>
      <c r="K4" s="41">
        <f>'Forecast Input'!L14</f>
        <v>0</v>
      </c>
      <c r="L4" s="41">
        <f>'Forecast Input'!M14</f>
        <v>0</v>
      </c>
      <c r="M4" s="41">
        <f>'Forecast Input'!N14</f>
        <v>0</v>
      </c>
      <c r="N4" s="41">
        <f>'Forecast Input'!O14</f>
        <v>0</v>
      </c>
      <c r="O4" s="42">
        <f>SUM(C4:N4)</f>
        <v>43648.784451</v>
      </c>
    </row>
    <row r="5" spans="1:15">
      <c r="A5" s="43"/>
      <c r="B5" s="33" t="s">
        <v>23</v>
      </c>
      <c r="C5" s="22">
        <v>262576</v>
      </c>
      <c r="D5" s="22">
        <v>180289</v>
      </c>
      <c r="E5" s="22">
        <v>93554</v>
      </c>
      <c r="F5" s="22">
        <v>34926</v>
      </c>
      <c r="G5" s="22">
        <v>118110</v>
      </c>
      <c r="H5" s="22">
        <v>106250</v>
      </c>
      <c r="I5" s="22">
        <v>82816</v>
      </c>
      <c r="J5" s="22">
        <v>107660</v>
      </c>
      <c r="K5" s="22">
        <v>175588</v>
      </c>
      <c r="L5" s="22">
        <v>123948</v>
      </c>
      <c r="M5" s="22">
        <v>150687</v>
      </c>
      <c r="N5" s="22">
        <v>227007</v>
      </c>
      <c r="O5" s="44">
        <f>SUM(C5:N5)</f>
        <v>1663411</v>
      </c>
    </row>
    <row r="6" spans="1:15">
      <c r="A6" s="45"/>
      <c r="B6" s="34" t="s">
        <v>160</v>
      </c>
      <c r="C6" s="17">
        <f>'Forecast Input'!D15</f>
        <v>30000</v>
      </c>
      <c r="D6" s="17">
        <f>'Forecast Input'!E15</f>
        <v>37500</v>
      </c>
      <c r="E6" s="17">
        <f>'Forecast Input'!F15</f>
        <v>15000</v>
      </c>
      <c r="F6" s="17">
        <f>'Forecast Input'!G15</f>
        <v>55000</v>
      </c>
      <c r="G6" s="17">
        <f>'Forecast Input'!H15</f>
        <v>55000</v>
      </c>
      <c r="H6" s="17">
        <f>'Forecast Input'!I15</f>
        <v>55000</v>
      </c>
      <c r="I6" s="17">
        <f>'Forecast Input'!J15</f>
        <v>95000</v>
      </c>
      <c r="J6" s="17">
        <f>'Forecast Input'!K15</f>
        <v>105000</v>
      </c>
      <c r="K6" s="17">
        <f>'Forecast Input'!L15</f>
        <v>150000</v>
      </c>
      <c r="L6" s="17">
        <f>'Forecast Input'!M15</f>
        <v>105000</v>
      </c>
      <c r="M6" s="17">
        <f>'Forecast Input'!N15</f>
        <v>105000</v>
      </c>
      <c r="N6" s="17">
        <f>'Forecast Input'!O15</f>
        <v>105000</v>
      </c>
      <c r="O6" s="46">
        <f>SUM(C6:N6)</f>
        <v>912500</v>
      </c>
    </row>
    <row r="7" spans="1:15">
      <c r="A7" s="47"/>
      <c r="B7" s="86" t="s">
        <v>196</v>
      </c>
      <c r="C7" s="153">
        <f>IF(C4=0,"-",C4-C6)</f>
        <v>-33260.215549</v>
      </c>
      <c r="D7" s="153">
        <f t="shared" ref="D7:N7" si="0">IF(D4=0,"-",D4-D6)</f>
        <v>7160</v>
      </c>
      <c r="E7" s="153">
        <f t="shared" si="0"/>
        <v>-12751</v>
      </c>
      <c r="F7" s="153" t="str">
        <f t="shared" si="0"/>
        <v>-</v>
      </c>
      <c r="G7" s="153" t="str">
        <f t="shared" si="0"/>
        <v>-</v>
      </c>
      <c r="H7" s="153" t="str">
        <f t="shared" si="0"/>
        <v>-</v>
      </c>
      <c r="I7" s="153" t="str">
        <f t="shared" si="0"/>
        <v>-</v>
      </c>
      <c r="J7" s="153" t="str">
        <f t="shared" si="0"/>
        <v>-</v>
      </c>
      <c r="K7" s="153" t="str">
        <f t="shared" si="0"/>
        <v>-</v>
      </c>
      <c r="L7" s="153" t="str">
        <f t="shared" si="0"/>
        <v>-</v>
      </c>
      <c r="M7" s="153" t="str">
        <f t="shared" si="0"/>
        <v>-</v>
      </c>
      <c r="N7" s="153" t="str">
        <f t="shared" si="0"/>
        <v>-</v>
      </c>
      <c r="O7" s="48"/>
    </row>
    <row r="8" spans="1:15">
      <c r="A8" s="47"/>
      <c r="B8" s="86" t="s">
        <v>197</v>
      </c>
      <c r="C8" s="154">
        <f>IFERROR(C7/C4,"-")</f>
        <v>10.201845567910945</v>
      </c>
      <c r="D8" s="154">
        <f t="shared" ref="D8:N8" si="1">IFERROR(D7/D4,"-")</f>
        <v>0.16032243618450515</v>
      </c>
      <c r="E8" s="154">
        <f t="shared" si="1"/>
        <v>-5.6696309470875947</v>
      </c>
      <c r="F8" s="154" t="str">
        <f t="shared" si="1"/>
        <v>-</v>
      </c>
      <c r="G8" s="154" t="str">
        <f t="shared" si="1"/>
        <v>-</v>
      </c>
      <c r="H8" s="154" t="str">
        <f t="shared" si="1"/>
        <v>-</v>
      </c>
      <c r="I8" s="154" t="str">
        <f t="shared" si="1"/>
        <v>-</v>
      </c>
      <c r="J8" s="154" t="str">
        <f t="shared" si="1"/>
        <v>-</v>
      </c>
      <c r="K8" s="154" t="str">
        <f t="shared" si="1"/>
        <v>-</v>
      </c>
      <c r="L8" s="154" t="str">
        <f t="shared" si="1"/>
        <v>-</v>
      </c>
      <c r="M8" s="154" t="str">
        <f t="shared" si="1"/>
        <v>-</v>
      </c>
      <c r="N8" s="154" t="str">
        <f t="shared" si="1"/>
        <v>-</v>
      </c>
      <c r="O8" s="48"/>
    </row>
    <row r="9" spans="1:15">
      <c r="A9" s="47"/>
      <c r="B9" s="86" t="s">
        <v>198</v>
      </c>
      <c r="C9" s="153">
        <f t="shared" ref="C9:N9" si="2">IFERROR(C6-C5,"-")</f>
        <v>-232576</v>
      </c>
      <c r="D9" s="153">
        <f t="shared" si="2"/>
        <v>-142789</v>
      </c>
      <c r="E9" s="153">
        <f t="shared" si="2"/>
        <v>-78554</v>
      </c>
      <c r="F9" s="153">
        <f t="shared" si="2"/>
        <v>20074</v>
      </c>
      <c r="G9" s="153">
        <f t="shared" si="2"/>
        <v>-63110</v>
      </c>
      <c r="H9" s="153">
        <f t="shared" si="2"/>
        <v>-51250</v>
      </c>
      <c r="I9" s="153">
        <f t="shared" si="2"/>
        <v>12184</v>
      </c>
      <c r="J9" s="153">
        <f t="shared" si="2"/>
        <v>-2660</v>
      </c>
      <c r="K9" s="153">
        <f t="shared" si="2"/>
        <v>-25588</v>
      </c>
      <c r="L9" s="153">
        <f t="shared" si="2"/>
        <v>-18948</v>
      </c>
      <c r="M9" s="153">
        <f t="shared" si="2"/>
        <v>-45687</v>
      </c>
      <c r="N9" s="153">
        <f t="shared" si="2"/>
        <v>-122007</v>
      </c>
      <c r="O9" s="48"/>
    </row>
    <row r="10" spans="1:15" ht="15.95" thickBot="1">
      <c r="A10" s="49"/>
      <c r="B10" s="155" t="s">
        <v>199</v>
      </c>
      <c r="C10" s="154">
        <f>IFERROR(C9/C5,"-")</f>
        <v>-0.88574736457254277</v>
      </c>
      <c r="D10" s="154">
        <f t="shared" ref="D10:N10" si="3">IFERROR(D9/D5,"-")</f>
        <v>-0.7920006212248113</v>
      </c>
      <c r="E10" s="154">
        <f t="shared" si="3"/>
        <v>-0.83966479252624149</v>
      </c>
      <c r="F10" s="154">
        <f t="shared" si="3"/>
        <v>0.57475805989807016</v>
      </c>
      <c r="G10" s="154">
        <f t="shared" si="3"/>
        <v>-0.53433240199813736</v>
      </c>
      <c r="H10" s="154">
        <f t="shared" si="3"/>
        <v>-0.4823529411764706</v>
      </c>
      <c r="I10" s="154">
        <f t="shared" si="3"/>
        <v>0.14712132921174653</v>
      </c>
      <c r="J10" s="154">
        <f t="shared" si="3"/>
        <v>-2.47074122236671E-2</v>
      </c>
      <c r="K10" s="154">
        <f t="shared" si="3"/>
        <v>-0.14572749846230951</v>
      </c>
      <c r="L10" s="154">
        <f t="shared" si="3"/>
        <v>-0.15287055862135734</v>
      </c>
      <c r="M10" s="154">
        <f t="shared" si="3"/>
        <v>-0.30319138346373609</v>
      </c>
      <c r="N10" s="154">
        <f t="shared" si="3"/>
        <v>-0.53745919729347558</v>
      </c>
      <c r="O10" s="50"/>
    </row>
    <row r="11" spans="1:15">
      <c r="A11" s="39" t="s">
        <v>68</v>
      </c>
      <c r="B11" s="40" t="s">
        <v>194</v>
      </c>
      <c r="C11" s="41">
        <f>'Forecast Input'!D16</f>
        <v>212757.87822700001</v>
      </c>
      <c r="D11" s="41">
        <f>'Forecast Input'!E16</f>
        <v>148559.80689199999</v>
      </c>
      <c r="E11" s="41">
        <f>'Forecast Input'!F16</f>
        <v>9433</v>
      </c>
      <c r="F11" s="41">
        <f>'Forecast Input'!G16</f>
        <v>0</v>
      </c>
      <c r="G11" s="41">
        <f>'Forecast Input'!H16</f>
        <v>0</v>
      </c>
      <c r="H11" s="41">
        <f>'Forecast Input'!I16</f>
        <v>0</v>
      </c>
      <c r="I11" s="41">
        <f>'Forecast Input'!J16</f>
        <v>0</v>
      </c>
      <c r="J11" s="41">
        <f>'Forecast Input'!K16</f>
        <v>0</v>
      </c>
      <c r="K11" s="41">
        <f>'Forecast Input'!L16</f>
        <v>0</v>
      </c>
      <c r="L11" s="41">
        <f>'Forecast Input'!M16</f>
        <v>0</v>
      </c>
      <c r="M11" s="41">
        <f>'Forecast Input'!N16</f>
        <v>0</v>
      </c>
      <c r="N11" s="41">
        <f>'Forecast Input'!O16</f>
        <v>0</v>
      </c>
      <c r="O11" s="42">
        <f>SUM(C11:N11)</f>
        <v>370750.68511900003</v>
      </c>
    </row>
    <row r="12" spans="1:15">
      <c r="A12" s="43"/>
      <c r="B12" s="33" t="s">
        <v>23</v>
      </c>
      <c r="C12" s="22">
        <v>149880</v>
      </c>
      <c r="D12" s="22">
        <v>133718</v>
      </c>
      <c r="E12" s="22">
        <v>196430</v>
      </c>
      <c r="F12" s="22">
        <v>196519</v>
      </c>
      <c r="G12" s="22">
        <v>224388</v>
      </c>
      <c r="H12" s="22">
        <v>207657</v>
      </c>
      <c r="I12" s="22">
        <v>244338</v>
      </c>
      <c r="J12" s="22">
        <v>277625</v>
      </c>
      <c r="K12" s="22">
        <v>219810</v>
      </c>
      <c r="L12" s="22">
        <v>193860</v>
      </c>
      <c r="M12" s="22">
        <v>172200</v>
      </c>
      <c r="N12" s="22">
        <v>95426</v>
      </c>
      <c r="O12" s="44">
        <f>SUM(C12:N12)</f>
        <v>2311851</v>
      </c>
    </row>
    <row r="13" spans="1:15">
      <c r="A13" s="45"/>
      <c r="B13" s="34" t="s">
        <v>160</v>
      </c>
      <c r="C13" s="17">
        <f>'Forecast Input'!D17</f>
        <v>175000</v>
      </c>
      <c r="D13" s="17">
        <f>'Forecast Input'!E17</f>
        <v>177000</v>
      </c>
      <c r="E13" s="17">
        <f>'Forecast Input'!F17</f>
        <v>150000</v>
      </c>
      <c r="F13" s="17">
        <f>'Forecast Input'!G17</f>
        <v>150000</v>
      </c>
      <c r="G13" s="17">
        <f>'Forecast Input'!H17</f>
        <v>150000</v>
      </c>
      <c r="H13" s="17">
        <f>'Forecast Input'!I17</f>
        <v>150000</v>
      </c>
      <c r="I13" s="17">
        <f>'Forecast Input'!J17</f>
        <v>150000</v>
      </c>
      <c r="J13" s="17">
        <f>'Forecast Input'!K17</f>
        <v>215000</v>
      </c>
      <c r="K13" s="17">
        <f>'Forecast Input'!L17</f>
        <v>205000</v>
      </c>
      <c r="L13" s="17">
        <f>'Forecast Input'!M17</f>
        <v>200000</v>
      </c>
      <c r="M13" s="17">
        <f>'Forecast Input'!N17</f>
        <v>200000</v>
      </c>
      <c r="N13" s="17">
        <f>'Forecast Input'!O17</f>
        <v>200000</v>
      </c>
      <c r="O13" s="46">
        <f>SUM(C13:N13)</f>
        <v>2122000</v>
      </c>
    </row>
    <row r="14" spans="1:15">
      <c r="A14" s="47"/>
      <c r="B14" s="86" t="s">
        <v>196</v>
      </c>
      <c r="C14" s="153">
        <f>IF(C11=0,"-",C11-C13)</f>
        <v>37757.878227000008</v>
      </c>
      <c r="D14" s="153">
        <f t="shared" ref="D14:N14" si="4">IF(D11=0,"-",D11-D13)</f>
        <v>-28440.193108000007</v>
      </c>
      <c r="E14" s="153">
        <f t="shared" si="4"/>
        <v>-140567</v>
      </c>
      <c r="F14" s="153" t="str">
        <f t="shared" si="4"/>
        <v>-</v>
      </c>
      <c r="G14" s="153" t="str">
        <f t="shared" si="4"/>
        <v>-</v>
      </c>
      <c r="H14" s="153" t="str">
        <f t="shared" si="4"/>
        <v>-</v>
      </c>
      <c r="I14" s="153" t="str">
        <f t="shared" si="4"/>
        <v>-</v>
      </c>
      <c r="J14" s="153" t="str">
        <f t="shared" si="4"/>
        <v>-</v>
      </c>
      <c r="K14" s="153" t="str">
        <f t="shared" si="4"/>
        <v>-</v>
      </c>
      <c r="L14" s="153" t="str">
        <f t="shared" si="4"/>
        <v>-</v>
      </c>
      <c r="M14" s="153" t="str">
        <f t="shared" si="4"/>
        <v>-</v>
      </c>
      <c r="N14" s="153" t="str">
        <f t="shared" si="4"/>
        <v>-</v>
      </c>
      <c r="O14" s="48"/>
    </row>
    <row r="15" spans="1:15">
      <c r="A15" s="47"/>
      <c r="B15" s="86" t="s">
        <v>197</v>
      </c>
      <c r="C15" s="154">
        <f>IFERROR(C14/C11,"-")</f>
        <v>0.17746876657001909</v>
      </c>
      <c r="D15" s="154">
        <f t="shared" ref="D15:N15" si="5">IFERROR(D14/D11,"-")</f>
        <v>-0.19143935161867476</v>
      </c>
      <c r="E15" s="154">
        <f t="shared" si="5"/>
        <v>-14.901621965440475</v>
      </c>
      <c r="F15" s="154" t="str">
        <f t="shared" si="5"/>
        <v>-</v>
      </c>
      <c r="G15" s="154" t="str">
        <f t="shared" si="5"/>
        <v>-</v>
      </c>
      <c r="H15" s="154" t="str">
        <f t="shared" si="5"/>
        <v>-</v>
      </c>
      <c r="I15" s="154" t="str">
        <f t="shared" si="5"/>
        <v>-</v>
      </c>
      <c r="J15" s="154" t="str">
        <f t="shared" si="5"/>
        <v>-</v>
      </c>
      <c r="K15" s="154" t="str">
        <f t="shared" si="5"/>
        <v>-</v>
      </c>
      <c r="L15" s="154" t="str">
        <f t="shared" si="5"/>
        <v>-</v>
      </c>
      <c r="M15" s="154" t="str">
        <f t="shared" si="5"/>
        <v>-</v>
      </c>
      <c r="N15" s="154" t="str">
        <f t="shared" si="5"/>
        <v>-</v>
      </c>
      <c r="O15" s="48"/>
    </row>
    <row r="16" spans="1:15">
      <c r="A16" s="47"/>
      <c r="B16" s="86" t="s">
        <v>198</v>
      </c>
      <c r="C16" s="153">
        <f t="shared" ref="C16:N16" si="6">IFERROR(C13-C12,"-")</f>
        <v>25120</v>
      </c>
      <c r="D16" s="153">
        <f t="shared" si="6"/>
        <v>43282</v>
      </c>
      <c r="E16" s="153">
        <f t="shared" si="6"/>
        <v>-46430</v>
      </c>
      <c r="F16" s="153">
        <f t="shared" si="6"/>
        <v>-46519</v>
      </c>
      <c r="G16" s="153">
        <f t="shared" si="6"/>
        <v>-74388</v>
      </c>
      <c r="H16" s="153">
        <f t="shared" si="6"/>
        <v>-57657</v>
      </c>
      <c r="I16" s="153">
        <f t="shared" si="6"/>
        <v>-94338</v>
      </c>
      <c r="J16" s="153">
        <f t="shared" si="6"/>
        <v>-62625</v>
      </c>
      <c r="K16" s="153">
        <f t="shared" si="6"/>
        <v>-14810</v>
      </c>
      <c r="L16" s="153">
        <f t="shared" si="6"/>
        <v>6140</v>
      </c>
      <c r="M16" s="153">
        <f t="shared" si="6"/>
        <v>27800</v>
      </c>
      <c r="N16" s="153">
        <f t="shared" si="6"/>
        <v>104574</v>
      </c>
      <c r="O16" s="48"/>
    </row>
    <row r="17" spans="1:15" ht="15.95" thickBot="1">
      <c r="A17" s="49"/>
      <c r="B17" s="155" t="s">
        <v>199</v>
      </c>
      <c r="C17" s="154">
        <f>IFERROR(C16/C12,"-")</f>
        <v>0.16760074726447824</v>
      </c>
      <c r="D17" s="154">
        <f t="shared" ref="D17:N17" si="7">IFERROR(D16/D12,"-")</f>
        <v>0.32368117979628769</v>
      </c>
      <c r="E17" s="154">
        <f t="shared" si="7"/>
        <v>-0.23636919004225423</v>
      </c>
      <c r="F17" s="154">
        <f t="shared" si="7"/>
        <v>-0.23671502501030434</v>
      </c>
      <c r="G17" s="154">
        <f t="shared" si="7"/>
        <v>-0.33151505428097761</v>
      </c>
      <c r="H17" s="154">
        <f t="shared" si="7"/>
        <v>-0.27765497912422887</v>
      </c>
      <c r="I17" s="154">
        <f t="shared" si="7"/>
        <v>-0.38609630921101096</v>
      </c>
      <c r="J17" s="154">
        <f t="shared" si="7"/>
        <v>-0.22557406573615488</v>
      </c>
      <c r="K17" s="154">
        <f t="shared" si="7"/>
        <v>-6.7376370501797012E-2</v>
      </c>
      <c r="L17" s="154">
        <f t="shared" si="7"/>
        <v>3.1672340864541425E-2</v>
      </c>
      <c r="M17" s="154">
        <f t="shared" si="7"/>
        <v>0.16144018583042974</v>
      </c>
      <c r="N17" s="154">
        <f t="shared" si="7"/>
        <v>1.0958648586339153</v>
      </c>
      <c r="O17" s="50"/>
    </row>
    <row r="18" spans="1:15">
      <c r="A18" s="39" t="s">
        <v>69</v>
      </c>
      <c r="B18" s="40" t="s">
        <v>194</v>
      </c>
      <c r="C18" s="41">
        <f>'Forecast Input'!D18</f>
        <v>2024.5313410000001</v>
      </c>
      <c r="D18" s="41">
        <f>'Forecast Input'!E18</f>
        <v>6347.5797160000002</v>
      </c>
      <c r="E18" s="41">
        <f>'Forecast Input'!F18</f>
        <v>6358</v>
      </c>
      <c r="F18" s="41">
        <f>'Forecast Input'!G18</f>
        <v>0</v>
      </c>
      <c r="G18" s="41">
        <f>'Forecast Input'!H18</f>
        <v>0</v>
      </c>
      <c r="H18" s="41">
        <f>'Forecast Input'!I18</f>
        <v>0</v>
      </c>
      <c r="I18" s="41">
        <f>'Forecast Input'!J18</f>
        <v>0</v>
      </c>
      <c r="J18" s="41">
        <f>'Forecast Input'!K18</f>
        <v>0</v>
      </c>
      <c r="K18" s="41">
        <f>'Forecast Input'!L18</f>
        <v>0</v>
      </c>
      <c r="L18" s="41">
        <f>'Forecast Input'!M18</f>
        <v>0</v>
      </c>
      <c r="M18" s="41">
        <f>'Forecast Input'!N18</f>
        <v>0</v>
      </c>
      <c r="N18" s="41">
        <f>'Forecast Input'!O18</f>
        <v>0</v>
      </c>
      <c r="O18" s="42">
        <f>SUM(C18:N18)</f>
        <v>14730.111057</v>
      </c>
    </row>
    <row r="19" spans="1:15">
      <c r="A19" s="43"/>
      <c r="B19" s="33" t="s">
        <v>23</v>
      </c>
      <c r="C19" s="22">
        <v>10301</v>
      </c>
      <c r="D19" s="22">
        <v>13890</v>
      </c>
      <c r="E19" s="22">
        <v>14358</v>
      </c>
      <c r="F19" s="22">
        <v>20048</v>
      </c>
      <c r="G19" s="22">
        <v>16854</v>
      </c>
      <c r="H19" s="22">
        <v>17122</v>
      </c>
      <c r="I19" s="22">
        <v>14885</v>
      </c>
      <c r="J19" s="22">
        <v>14245</v>
      </c>
      <c r="K19" s="22">
        <v>9552</v>
      </c>
      <c r="L19" s="22">
        <v>9835</v>
      </c>
      <c r="M19" s="22">
        <v>8211</v>
      </c>
      <c r="N19" s="22">
        <v>4091</v>
      </c>
      <c r="O19" s="44">
        <f>SUM(C19:N19)</f>
        <v>153392</v>
      </c>
    </row>
    <row r="20" spans="1:15">
      <c r="A20" s="45"/>
      <c r="B20" s="34" t="s">
        <v>160</v>
      </c>
      <c r="C20" s="17">
        <f>'Forecast Input'!D19</f>
        <v>12500</v>
      </c>
      <c r="D20" s="17">
        <f>'Forecast Input'!E19</f>
        <v>13500</v>
      </c>
      <c r="E20" s="17">
        <f>'Forecast Input'!F19</f>
        <v>13000</v>
      </c>
      <c r="F20" s="17">
        <f>'Forecast Input'!G19</f>
        <v>13500</v>
      </c>
      <c r="G20" s="17">
        <f>'Forecast Input'!H19</f>
        <v>12000</v>
      </c>
      <c r="H20" s="17">
        <f>'Forecast Input'!I19</f>
        <v>13500</v>
      </c>
      <c r="I20" s="17">
        <f>'Forecast Input'!J19</f>
        <v>12000</v>
      </c>
      <c r="J20" s="17">
        <f>'Forecast Input'!K19</f>
        <v>14000</v>
      </c>
      <c r="K20" s="17">
        <f>'Forecast Input'!L19</f>
        <v>16000</v>
      </c>
      <c r="L20" s="17">
        <f>'Forecast Input'!M19</f>
        <v>10000</v>
      </c>
      <c r="M20" s="17">
        <f>'Forecast Input'!N19</f>
        <v>10000</v>
      </c>
      <c r="N20" s="17">
        <f>'Forecast Input'!O19</f>
        <v>10000</v>
      </c>
      <c r="O20" s="46">
        <f>SUM(C20:N20)</f>
        <v>150000</v>
      </c>
    </row>
    <row r="21" spans="1:15">
      <c r="A21" s="47"/>
      <c r="B21" s="86" t="s">
        <v>196</v>
      </c>
      <c r="C21" s="153">
        <f>IF(C18=0,"-",C18-C20)</f>
        <v>-10475.468659</v>
      </c>
      <c r="D21" s="153">
        <f t="shared" ref="D21:N21" si="8">IF(D18=0,"-",D18-D20)</f>
        <v>-7152.4202839999998</v>
      </c>
      <c r="E21" s="153">
        <f t="shared" si="8"/>
        <v>-6642</v>
      </c>
      <c r="F21" s="153" t="str">
        <f t="shared" si="8"/>
        <v>-</v>
      </c>
      <c r="G21" s="153" t="str">
        <f t="shared" si="8"/>
        <v>-</v>
      </c>
      <c r="H21" s="153" t="str">
        <f t="shared" si="8"/>
        <v>-</v>
      </c>
      <c r="I21" s="153" t="str">
        <f t="shared" si="8"/>
        <v>-</v>
      </c>
      <c r="J21" s="153" t="str">
        <f t="shared" si="8"/>
        <v>-</v>
      </c>
      <c r="K21" s="153" t="str">
        <f t="shared" si="8"/>
        <v>-</v>
      </c>
      <c r="L21" s="153" t="str">
        <f t="shared" si="8"/>
        <v>-</v>
      </c>
      <c r="M21" s="153" t="str">
        <f t="shared" si="8"/>
        <v>-</v>
      </c>
      <c r="N21" s="153" t="str">
        <f t="shared" si="8"/>
        <v>-</v>
      </c>
      <c r="O21" s="48"/>
    </row>
    <row r="22" spans="1:15">
      <c r="A22" s="47"/>
      <c r="B22" s="86" t="s">
        <v>197</v>
      </c>
      <c r="C22" s="154">
        <f>IFERROR(C21/C18,"-")</f>
        <v>-5.1742684575214977</v>
      </c>
      <c r="D22" s="154">
        <f t="shared" ref="D22:N22" si="9">IFERROR(D21/D18,"-")</f>
        <v>-1.126794873638417</v>
      </c>
      <c r="E22" s="154">
        <f t="shared" si="9"/>
        <v>-1.0446681346335325</v>
      </c>
      <c r="F22" s="154" t="str">
        <f t="shared" si="9"/>
        <v>-</v>
      </c>
      <c r="G22" s="154" t="str">
        <f t="shared" si="9"/>
        <v>-</v>
      </c>
      <c r="H22" s="154" t="str">
        <f t="shared" si="9"/>
        <v>-</v>
      </c>
      <c r="I22" s="154" t="str">
        <f t="shared" si="9"/>
        <v>-</v>
      </c>
      <c r="J22" s="154" t="str">
        <f t="shared" si="9"/>
        <v>-</v>
      </c>
      <c r="K22" s="154" t="str">
        <f t="shared" si="9"/>
        <v>-</v>
      </c>
      <c r="L22" s="154" t="str">
        <f t="shared" si="9"/>
        <v>-</v>
      </c>
      <c r="M22" s="154" t="str">
        <f t="shared" si="9"/>
        <v>-</v>
      </c>
      <c r="N22" s="154" t="str">
        <f t="shared" si="9"/>
        <v>-</v>
      </c>
      <c r="O22" s="48"/>
    </row>
    <row r="23" spans="1:15">
      <c r="A23" s="47"/>
      <c r="B23" s="86" t="s">
        <v>198</v>
      </c>
      <c r="C23" s="153">
        <f t="shared" ref="C23:N23" si="10">IFERROR(C20-C19,"-")</f>
        <v>2199</v>
      </c>
      <c r="D23" s="153">
        <f t="shared" si="10"/>
        <v>-390</v>
      </c>
      <c r="E23" s="153">
        <f t="shared" si="10"/>
        <v>-1358</v>
      </c>
      <c r="F23" s="153">
        <f t="shared" si="10"/>
        <v>-6548</v>
      </c>
      <c r="G23" s="153">
        <f t="shared" si="10"/>
        <v>-4854</v>
      </c>
      <c r="H23" s="153">
        <f t="shared" si="10"/>
        <v>-3622</v>
      </c>
      <c r="I23" s="153">
        <f t="shared" si="10"/>
        <v>-2885</v>
      </c>
      <c r="J23" s="153">
        <f t="shared" si="10"/>
        <v>-245</v>
      </c>
      <c r="K23" s="153">
        <f t="shared" si="10"/>
        <v>6448</v>
      </c>
      <c r="L23" s="153">
        <f t="shared" si="10"/>
        <v>165</v>
      </c>
      <c r="M23" s="153">
        <f t="shared" si="10"/>
        <v>1789</v>
      </c>
      <c r="N23" s="153">
        <f t="shared" si="10"/>
        <v>5909</v>
      </c>
      <c r="O23" s="48"/>
    </row>
    <row r="24" spans="1:15" ht="15.95" thickBot="1">
      <c r="A24" s="49"/>
      <c r="B24" s="155" t="s">
        <v>199</v>
      </c>
      <c r="C24" s="154">
        <f>IFERROR(C23/C19,"-")</f>
        <v>0.21347441995922725</v>
      </c>
      <c r="D24" s="154">
        <f t="shared" ref="D24:N24" si="11">IFERROR(D23/D19,"-")</f>
        <v>-2.8077753779697623E-2</v>
      </c>
      <c r="E24" s="154">
        <f t="shared" si="11"/>
        <v>-9.4581418024794542E-2</v>
      </c>
      <c r="F24" s="154">
        <f t="shared" si="11"/>
        <v>-0.32661612130885875</v>
      </c>
      <c r="G24" s="154">
        <f t="shared" si="11"/>
        <v>-0.28800284798860804</v>
      </c>
      <c r="H24" s="154">
        <f t="shared" si="11"/>
        <v>-0.21154070786123116</v>
      </c>
      <c r="I24" s="154">
        <f t="shared" si="11"/>
        <v>-0.19381928115552569</v>
      </c>
      <c r="J24" s="154">
        <f t="shared" si="11"/>
        <v>-1.7199017199017199E-2</v>
      </c>
      <c r="K24" s="154">
        <f t="shared" si="11"/>
        <v>0.67504187604690113</v>
      </c>
      <c r="L24" s="154">
        <f t="shared" si="11"/>
        <v>1.677681748856126E-2</v>
      </c>
      <c r="M24" s="154">
        <f t="shared" si="11"/>
        <v>0.21787845573011813</v>
      </c>
      <c r="N24" s="154">
        <f t="shared" si="11"/>
        <v>1.4443901246638964</v>
      </c>
      <c r="O24" s="50"/>
    </row>
    <row r="25" spans="1:15">
      <c r="A25" s="39" t="s">
        <v>70</v>
      </c>
      <c r="B25" s="40" t="s">
        <v>194</v>
      </c>
      <c r="C25" s="41">
        <f>'Forecast Input'!D20</f>
        <v>5566.1160609999997</v>
      </c>
      <c r="D25" s="41">
        <f>'Forecast Input'!E20</f>
        <v>14370.106075</v>
      </c>
      <c r="E25" s="41">
        <f>'Forecast Input'!F20</f>
        <v>7935</v>
      </c>
      <c r="F25" s="41">
        <f>'Forecast Input'!G20</f>
        <v>0</v>
      </c>
      <c r="G25" s="41">
        <f>'Forecast Input'!H20</f>
        <v>0</v>
      </c>
      <c r="H25" s="41">
        <f>'Forecast Input'!I20</f>
        <v>0</v>
      </c>
      <c r="I25" s="41">
        <f>'Forecast Input'!J20</f>
        <v>0</v>
      </c>
      <c r="J25" s="41">
        <f>'Forecast Input'!K20</f>
        <v>0</v>
      </c>
      <c r="K25" s="41">
        <f>'Forecast Input'!L20</f>
        <v>0</v>
      </c>
      <c r="L25" s="41">
        <f>'Forecast Input'!M20</f>
        <v>0</v>
      </c>
      <c r="M25" s="41">
        <f>'Forecast Input'!N20</f>
        <v>0</v>
      </c>
      <c r="N25" s="41">
        <f>'Forecast Input'!O20</f>
        <v>0</v>
      </c>
      <c r="O25" s="42">
        <f>SUM(C25:N25)</f>
        <v>27871.222136</v>
      </c>
    </row>
    <row r="26" spans="1:15">
      <c r="A26" s="43"/>
      <c r="B26" s="33" t="s">
        <v>23</v>
      </c>
      <c r="C26" s="22"/>
      <c r="D26" s="22"/>
      <c r="E26" s="22"/>
      <c r="F26" s="22"/>
      <c r="G26" s="22"/>
      <c r="H26" s="22"/>
      <c r="I26" s="22"/>
      <c r="J26" s="22"/>
      <c r="K26" s="22"/>
      <c r="L26" s="22"/>
      <c r="M26" s="22"/>
      <c r="N26" s="22"/>
      <c r="O26" s="44">
        <f>SUM(C26:N26)</f>
        <v>0</v>
      </c>
    </row>
    <row r="27" spans="1:15">
      <c r="A27" s="45"/>
      <c r="B27" s="34" t="s">
        <v>160</v>
      </c>
      <c r="C27" s="17">
        <f>'Forecast Input'!D21</f>
        <v>10000</v>
      </c>
      <c r="D27" s="17">
        <f>'Forecast Input'!E21</f>
        <v>10000</v>
      </c>
      <c r="E27" s="17">
        <f>'Forecast Input'!F21</f>
        <v>8500</v>
      </c>
      <c r="F27" s="17">
        <f>'Forecast Input'!G21</f>
        <v>8000</v>
      </c>
      <c r="G27" s="17">
        <f>'Forecast Input'!H21</f>
        <v>8000</v>
      </c>
      <c r="H27" s="17">
        <f>'Forecast Input'!I21</f>
        <v>8000</v>
      </c>
      <c r="I27" s="17">
        <f>'Forecast Input'!J21</f>
        <v>8000</v>
      </c>
      <c r="J27" s="17">
        <f>'Forecast Input'!K21</f>
        <v>8000</v>
      </c>
      <c r="K27" s="17">
        <f>'Forecast Input'!L21</f>
        <v>8000</v>
      </c>
      <c r="L27" s="17">
        <f>'Forecast Input'!M21</f>
        <v>8000</v>
      </c>
      <c r="M27" s="17">
        <f>'Forecast Input'!N21</f>
        <v>8000</v>
      </c>
      <c r="N27" s="17">
        <f>'Forecast Input'!O21</f>
        <v>8000</v>
      </c>
      <c r="O27" s="46">
        <f>SUM(C27:N27)</f>
        <v>100500</v>
      </c>
    </row>
    <row r="28" spans="1:15">
      <c r="A28" s="47"/>
      <c r="B28" s="86" t="s">
        <v>196</v>
      </c>
      <c r="C28" s="153">
        <f>IF(C25=0,"-",C25-C27)</f>
        <v>-4433.8839390000003</v>
      </c>
      <c r="D28" s="153">
        <f t="shared" ref="D28:N28" si="12">IF(D25=0,"-",D25-D27)</f>
        <v>4370.1060749999997</v>
      </c>
      <c r="E28" s="153">
        <f t="shared" si="12"/>
        <v>-565</v>
      </c>
      <c r="F28" s="153" t="str">
        <f t="shared" si="12"/>
        <v>-</v>
      </c>
      <c r="G28" s="153" t="str">
        <f t="shared" si="12"/>
        <v>-</v>
      </c>
      <c r="H28" s="153" t="str">
        <f t="shared" si="12"/>
        <v>-</v>
      </c>
      <c r="I28" s="153" t="str">
        <f t="shared" si="12"/>
        <v>-</v>
      </c>
      <c r="J28" s="153" t="str">
        <f t="shared" si="12"/>
        <v>-</v>
      </c>
      <c r="K28" s="153" t="str">
        <f t="shared" si="12"/>
        <v>-</v>
      </c>
      <c r="L28" s="153" t="str">
        <f t="shared" si="12"/>
        <v>-</v>
      </c>
      <c r="M28" s="153" t="str">
        <f t="shared" si="12"/>
        <v>-</v>
      </c>
      <c r="N28" s="153" t="str">
        <f t="shared" si="12"/>
        <v>-</v>
      </c>
      <c r="O28" s="48"/>
    </row>
    <row r="29" spans="1:15">
      <c r="A29" s="47"/>
      <c r="B29" s="86" t="s">
        <v>197</v>
      </c>
      <c r="C29" s="154">
        <f>IFERROR(C28/C25,"-")</f>
        <v>-0.79658488799161253</v>
      </c>
      <c r="D29" s="154">
        <f t="shared" ref="D29:N29" si="13">IFERROR(D28/D25,"-")</f>
        <v>0.30411091276513069</v>
      </c>
      <c r="E29" s="154">
        <f t="shared" si="13"/>
        <v>-7.120352867044738E-2</v>
      </c>
      <c r="F29" s="154" t="str">
        <f t="shared" si="13"/>
        <v>-</v>
      </c>
      <c r="G29" s="154" t="str">
        <f t="shared" si="13"/>
        <v>-</v>
      </c>
      <c r="H29" s="154" t="str">
        <f t="shared" si="13"/>
        <v>-</v>
      </c>
      <c r="I29" s="154" t="str">
        <f t="shared" si="13"/>
        <v>-</v>
      </c>
      <c r="J29" s="154" t="str">
        <f t="shared" si="13"/>
        <v>-</v>
      </c>
      <c r="K29" s="154" t="str">
        <f t="shared" si="13"/>
        <v>-</v>
      </c>
      <c r="L29" s="154" t="str">
        <f t="shared" si="13"/>
        <v>-</v>
      </c>
      <c r="M29" s="154" t="str">
        <f t="shared" si="13"/>
        <v>-</v>
      </c>
      <c r="N29" s="154" t="str">
        <f t="shared" si="13"/>
        <v>-</v>
      </c>
      <c r="O29" s="48"/>
    </row>
    <row r="30" spans="1:15">
      <c r="A30" s="47"/>
      <c r="B30" s="86" t="s">
        <v>198</v>
      </c>
      <c r="C30" s="153">
        <f t="shared" ref="C30:N30" si="14">IFERROR(C27-C26,"-")</f>
        <v>10000</v>
      </c>
      <c r="D30" s="153">
        <f t="shared" si="14"/>
        <v>10000</v>
      </c>
      <c r="E30" s="153">
        <f t="shared" si="14"/>
        <v>8500</v>
      </c>
      <c r="F30" s="153">
        <f t="shared" si="14"/>
        <v>8000</v>
      </c>
      <c r="G30" s="153">
        <f t="shared" si="14"/>
        <v>8000</v>
      </c>
      <c r="H30" s="153">
        <f t="shared" si="14"/>
        <v>8000</v>
      </c>
      <c r="I30" s="153">
        <f t="shared" si="14"/>
        <v>8000</v>
      </c>
      <c r="J30" s="153">
        <f t="shared" si="14"/>
        <v>8000</v>
      </c>
      <c r="K30" s="153">
        <f t="shared" si="14"/>
        <v>8000</v>
      </c>
      <c r="L30" s="153">
        <f t="shared" si="14"/>
        <v>8000</v>
      </c>
      <c r="M30" s="153">
        <f t="shared" si="14"/>
        <v>8000</v>
      </c>
      <c r="N30" s="153">
        <f t="shared" si="14"/>
        <v>8000</v>
      </c>
      <c r="O30" s="48"/>
    </row>
    <row r="31" spans="1:15" ht="15.95" thickBot="1">
      <c r="A31" s="49"/>
      <c r="B31" s="155" t="s">
        <v>199</v>
      </c>
      <c r="C31" s="154" t="str">
        <f>IFERROR(C30/C26,"-")</f>
        <v>-</v>
      </c>
      <c r="D31" s="154" t="str">
        <f t="shared" ref="D31:N31" si="15">IFERROR(D30/D26,"-")</f>
        <v>-</v>
      </c>
      <c r="E31" s="154" t="str">
        <f t="shared" si="15"/>
        <v>-</v>
      </c>
      <c r="F31" s="154" t="str">
        <f t="shared" si="15"/>
        <v>-</v>
      </c>
      <c r="G31" s="154" t="str">
        <f t="shared" si="15"/>
        <v>-</v>
      </c>
      <c r="H31" s="154" t="str">
        <f t="shared" si="15"/>
        <v>-</v>
      </c>
      <c r="I31" s="154" t="str">
        <f t="shared" si="15"/>
        <v>-</v>
      </c>
      <c r="J31" s="154" t="str">
        <f t="shared" si="15"/>
        <v>-</v>
      </c>
      <c r="K31" s="154" t="str">
        <f t="shared" si="15"/>
        <v>-</v>
      </c>
      <c r="L31" s="154" t="str">
        <f t="shared" si="15"/>
        <v>-</v>
      </c>
      <c r="M31" s="154" t="str">
        <f t="shared" si="15"/>
        <v>-</v>
      </c>
      <c r="N31" s="154" t="str">
        <f t="shared" si="15"/>
        <v>-</v>
      </c>
      <c r="O31" s="50"/>
    </row>
    <row r="32" spans="1:15">
      <c r="A32" s="39" t="s">
        <v>71</v>
      </c>
      <c r="B32" s="40" t="s">
        <v>194</v>
      </c>
      <c r="C32" s="41">
        <f>'Forecast Input'!D22</f>
        <v>9408.0530689999996</v>
      </c>
      <c r="D32" s="41">
        <f>'Forecast Input'!E22</f>
        <v>4565.49737</v>
      </c>
      <c r="E32" s="41">
        <f>'Forecast Input'!F22</f>
        <v>14841</v>
      </c>
      <c r="F32" s="41">
        <f>'Forecast Input'!G22</f>
        <v>0</v>
      </c>
      <c r="G32" s="41">
        <f>'Forecast Input'!H22</f>
        <v>0</v>
      </c>
      <c r="H32" s="41">
        <f>'Forecast Input'!I22</f>
        <v>0</v>
      </c>
      <c r="I32" s="41">
        <f>'Forecast Input'!J22</f>
        <v>0</v>
      </c>
      <c r="J32" s="41">
        <f>'Forecast Input'!K22</f>
        <v>0</v>
      </c>
      <c r="K32" s="41">
        <f>'Forecast Input'!L22</f>
        <v>0</v>
      </c>
      <c r="L32" s="41">
        <f>'Forecast Input'!M22</f>
        <v>0</v>
      </c>
      <c r="M32" s="41">
        <f>'Forecast Input'!N22</f>
        <v>0</v>
      </c>
      <c r="N32" s="41">
        <f>'Forecast Input'!O22</f>
        <v>0</v>
      </c>
      <c r="O32" s="42">
        <f>SUM(C32:N32)</f>
        <v>28814.550438999999</v>
      </c>
    </row>
    <row r="33" spans="1:15">
      <c r="A33" s="43"/>
      <c r="B33" s="33" t="s">
        <v>23</v>
      </c>
      <c r="C33" s="22">
        <v>13851</v>
      </c>
      <c r="D33" s="22">
        <v>14079</v>
      </c>
      <c r="E33" s="22">
        <v>24114</v>
      </c>
      <c r="F33" s="22">
        <v>17370</v>
      </c>
      <c r="G33" s="22">
        <v>14648</v>
      </c>
      <c r="H33" s="22">
        <v>13163</v>
      </c>
      <c r="I33" s="22">
        <v>15289</v>
      </c>
      <c r="J33" s="22">
        <v>16435</v>
      </c>
      <c r="K33" s="22">
        <v>17469</v>
      </c>
      <c r="L33" s="22">
        <v>16016</v>
      </c>
      <c r="M33" s="22">
        <v>19852</v>
      </c>
      <c r="N33" s="22">
        <v>19379</v>
      </c>
      <c r="O33" s="44">
        <f>SUM(C33:N33)</f>
        <v>201665</v>
      </c>
    </row>
    <row r="34" spans="1:15">
      <c r="A34" s="45"/>
      <c r="B34" s="34" t="s">
        <v>160</v>
      </c>
      <c r="C34" s="17">
        <f>'Forecast Input'!D23</f>
        <v>17500</v>
      </c>
      <c r="D34" s="17">
        <f>'Forecast Input'!E23</f>
        <v>15000</v>
      </c>
      <c r="E34" s="17">
        <f>'Forecast Input'!F23</f>
        <v>14500</v>
      </c>
      <c r="F34" s="17">
        <f>'Forecast Input'!G23</f>
        <v>14500</v>
      </c>
      <c r="G34" s="17">
        <f>'Forecast Input'!H23</f>
        <v>14500</v>
      </c>
      <c r="H34" s="17">
        <f>'Forecast Input'!I23</f>
        <v>15000</v>
      </c>
      <c r="I34" s="17">
        <f>'Forecast Input'!J23</f>
        <v>16500</v>
      </c>
      <c r="J34" s="17">
        <f>'Forecast Input'!K23</f>
        <v>16500</v>
      </c>
      <c r="K34" s="17">
        <f>'Forecast Input'!L23</f>
        <v>20000</v>
      </c>
      <c r="L34" s="17">
        <f>'Forecast Input'!M23</f>
        <v>18500</v>
      </c>
      <c r="M34" s="17">
        <f>'Forecast Input'!N23</f>
        <v>18000</v>
      </c>
      <c r="N34" s="17">
        <f>'Forecast Input'!O23</f>
        <v>18000</v>
      </c>
      <c r="O34" s="46">
        <f>SUM(C34:N34)</f>
        <v>198500</v>
      </c>
    </row>
    <row r="35" spans="1:15">
      <c r="A35" s="47"/>
      <c r="B35" s="86" t="s">
        <v>196</v>
      </c>
      <c r="C35" s="153">
        <f>IF(C32=0,"-",C32-C34)</f>
        <v>-8091.9469310000004</v>
      </c>
      <c r="D35" s="153">
        <f t="shared" ref="D35:N35" si="16">IF(D32=0,"-",D32-D34)</f>
        <v>-10434.502629999999</v>
      </c>
      <c r="E35" s="153">
        <f t="shared" si="16"/>
        <v>341</v>
      </c>
      <c r="F35" s="153" t="str">
        <f t="shared" si="16"/>
        <v>-</v>
      </c>
      <c r="G35" s="153" t="str">
        <f t="shared" si="16"/>
        <v>-</v>
      </c>
      <c r="H35" s="153" t="str">
        <f t="shared" si="16"/>
        <v>-</v>
      </c>
      <c r="I35" s="153" t="str">
        <f t="shared" si="16"/>
        <v>-</v>
      </c>
      <c r="J35" s="153" t="str">
        <f t="shared" si="16"/>
        <v>-</v>
      </c>
      <c r="K35" s="153" t="str">
        <f t="shared" si="16"/>
        <v>-</v>
      </c>
      <c r="L35" s="153" t="str">
        <f t="shared" si="16"/>
        <v>-</v>
      </c>
      <c r="M35" s="153" t="str">
        <f t="shared" si="16"/>
        <v>-</v>
      </c>
      <c r="N35" s="153" t="str">
        <f t="shared" si="16"/>
        <v>-</v>
      </c>
      <c r="O35" s="48"/>
    </row>
    <row r="36" spans="1:15">
      <c r="A36" s="47"/>
      <c r="B36" s="86" t="s">
        <v>197</v>
      </c>
      <c r="C36" s="154">
        <f>IFERROR(C35/C32,"-")</f>
        <v>-0.86010855504879813</v>
      </c>
      <c r="D36" s="154">
        <f t="shared" ref="D36:N36" si="17">IFERROR(D35/D32,"-")</f>
        <v>-2.2855127895955833</v>
      </c>
      <c r="E36" s="154">
        <f t="shared" si="17"/>
        <v>2.2976888349841657E-2</v>
      </c>
      <c r="F36" s="154" t="str">
        <f t="shared" si="17"/>
        <v>-</v>
      </c>
      <c r="G36" s="154" t="str">
        <f t="shared" si="17"/>
        <v>-</v>
      </c>
      <c r="H36" s="154" t="str">
        <f t="shared" si="17"/>
        <v>-</v>
      </c>
      <c r="I36" s="154" t="str">
        <f t="shared" si="17"/>
        <v>-</v>
      </c>
      <c r="J36" s="154" t="str">
        <f t="shared" si="17"/>
        <v>-</v>
      </c>
      <c r="K36" s="154" t="str">
        <f t="shared" si="17"/>
        <v>-</v>
      </c>
      <c r="L36" s="154" t="str">
        <f t="shared" si="17"/>
        <v>-</v>
      </c>
      <c r="M36" s="154" t="str">
        <f t="shared" si="17"/>
        <v>-</v>
      </c>
      <c r="N36" s="154" t="str">
        <f t="shared" si="17"/>
        <v>-</v>
      </c>
      <c r="O36" s="48"/>
    </row>
    <row r="37" spans="1:15">
      <c r="A37" s="47"/>
      <c r="B37" s="86" t="s">
        <v>198</v>
      </c>
      <c r="C37" s="153">
        <f t="shared" ref="C37:N37" si="18">IFERROR(C34-C33,"-")</f>
        <v>3649</v>
      </c>
      <c r="D37" s="153">
        <f t="shared" si="18"/>
        <v>921</v>
      </c>
      <c r="E37" s="153">
        <f t="shared" si="18"/>
        <v>-9614</v>
      </c>
      <c r="F37" s="153">
        <f t="shared" si="18"/>
        <v>-2870</v>
      </c>
      <c r="G37" s="153">
        <f t="shared" si="18"/>
        <v>-148</v>
      </c>
      <c r="H37" s="153">
        <f t="shared" si="18"/>
        <v>1837</v>
      </c>
      <c r="I37" s="153">
        <f t="shared" si="18"/>
        <v>1211</v>
      </c>
      <c r="J37" s="153">
        <f t="shared" si="18"/>
        <v>65</v>
      </c>
      <c r="K37" s="153">
        <f t="shared" si="18"/>
        <v>2531</v>
      </c>
      <c r="L37" s="153">
        <f t="shared" si="18"/>
        <v>2484</v>
      </c>
      <c r="M37" s="153">
        <f t="shared" si="18"/>
        <v>-1852</v>
      </c>
      <c r="N37" s="153">
        <f t="shared" si="18"/>
        <v>-1379</v>
      </c>
      <c r="O37" s="48"/>
    </row>
    <row r="38" spans="1:15" ht="15.95" thickBot="1">
      <c r="A38" s="49"/>
      <c r="B38" s="155" t="s">
        <v>199</v>
      </c>
      <c r="C38" s="154">
        <f>IFERROR(C37/C33,"-")</f>
        <v>0.26344668254999637</v>
      </c>
      <c r="D38" s="154">
        <f t="shared" ref="D38:N38" si="19">IFERROR(D37/D33,"-")</f>
        <v>6.5416577881951848E-2</v>
      </c>
      <c r="E38" s="154">
        <f t="shared" si="19"/>
        <v>-0.39868955793315086</v>
      </c>
      <c r="F38" s="154">
        <f t="shared" si="19"/>
        <v>-0.16522740356937249</v>
      </c>
      <c r="G38" s="154">
        <f t="shared" si="19"/>
        <v>-1.0103768432550519E-2</v>
      </c>
      <c r="H38" s="154">
        <f t="shared" si="19"/>
        <v>0.13955785155359721</v>
      </c>
      <c r="I38" s="154">
        <f t="shared" si="19"/>
        <v>7.9207273202956369E-2</v>
      </c>
      <c r="J38" s="154">
        <f t="shared" si="19"/>
        <v>3.9549741405536963E-3</v>
      </c>
      <c r="K38" s="154">
        <f t="shared" si="19"/>
        <v>0.14488522525616807</v>
      </c>
      <c r="L38" s="154">
        <f t="shared" si="19"/>
        <v>0.15509490509490509</v>
      </c>
      <c r="M38" s="154">
        <f t="shared" si="19"/>
        <v>-9.3290348579488216E-2</v>
      </c>
      <c r="N38" s="154">
        <f t="shared" si="19"/>
        <v>-7.1159502554311374E-2</v>
      </c>
      <c r="O38" s="50"/>
    </row>
    <row r="39" spans="1:15">
      <c r="A39" s="39" t="s">
        <v>72</v>
      </c>
      <c r="B39" s="40" t="s">
        <v>194</v>
      </c>
      <c r="C39" s="41">
        <f>'Forecast Input'!D24</f>
        <v>2960.8800350000001</v>
      </c>
      <c r="D39" s="41">
        <f>'Forecast Input'!E24</f>
        <v>687.37602900000002</v>
      </c>
      <c r="E39" s="41">
        <f>'Forecast Input'!F24</f>
        <v>-1533</v>
      </c>
      <c r="F39" s="41">
        <f>'Forecast Input'!G24</f>
        <v>0</v>
      </c>
      <c r="G39" s="41">
        <f>'Forecast Input'!H24</f>
        <v>0</v>
      </c>
      <c r="H39" s="41">
        <f>'Forecast Input'!I24</f>
        <v>0</v>
      </c>
      <c r="I39" s="41">
        <f>'Forecast Input'!J24</f>
        <v>0</v>
      </c>
      <c r="J39" s="41">
        <f>'Forecast Input'!K24</f>
        <v>0</v>
      </c>
      <c r="K39" s="41">
        <f>'Forecast Input'!L24</f>
        <v>0</v>
      </c>
      <c r="L39" s="41">
        <f>'Forecast Input'!M24</f>
        <v>0</v>
      </c>
      <c r="M39" s="41">
        <f>'Forecast Input'!N24</f>
        <v>0</v>
      </c>
      <c r="N39" s="41">
        <f>'Forecast Input'!O24</f>
        <v>0</v>
      </c>
      <c r="O39" s="42">
        <f>SUM(C39:N39)</f>
        <v>2115.2560640000002</v>
      </c>
    </row>
    <row r="40" spans="1:15">
      <c r="A40" s="43"/>
      <c r="B40" s="33" t="s">
        <v>23</v>
      </c>
      <c r="C40" s="22"/>
      <c r="D40" s="22"/>
      <c r="E40" s="22"/>
      <c r="F40" s="22"/>
      <c r="G40" s="22"/>
      <c r="H40" s="22"/>
      <c r="I40" s="22"/>
      <c r="J40" s="22"/>
      <c r="K40" s="22"/>
      <c r="L40" s="22"/>
      <c r="M40" s="22"/>
      <c r="N40" s="22"/>
      <c r="O40" s="44">
        <f>SUM(C40:N40)</f>
        <v>0</v>
      </c>
    </row>
    <row r="41" spans="1:15">
      <c r="A41" s="45"/>
      <c r="B41" s="34" t="s">
        <v>160</v>
      </c>
      <c r="C41" s="17">
        <f>'Forecast Input'!D25</f>
        <v>1500</v>
      </c>
      <c r="D41" s="17">
        <f>'Forecast Input'!E25</f>
        <v>1500</v>
      </c>
      <c r="E41" s="17">
        <f>'Forecast Input'!F25</f>
        <v>1500</v>
      </c>
      <c r="F41" s="17">
        <f>'Forecast Input'!G25</f>
        <v>1500</v>
      </c>
      <c r="G41" s="17">
        <f>'Forecast Input'!H25</f>
        <v>1500</v>
      </c>
      <c r="H41" s="17">
        <f>'Forecast Input'!I25</f>
        <v>1500</v>
      </c>
      <c r="I41" s="17">
        <f>'Forecast Input'!J25</f>
        <v>1500</v>
      </c>
      <c r="J41" s="17">
        <f>'Forecast Input'!K25</f>
        <v>1500</v>
      </c>
      <c r="K41" s="17">
        <f>'Forecast Input'!L25</f>
        <v>1500</v>
      </c>
      <c r="L41" s="17">
        <f>'Forecast Input'!M25</f>
        <v>1500</v>
      </c>
      <c r="M41" s="17">
        <f>'Forecast Input'!N25</f>
        <v>1500</v>
      </c>
      <c r="N41" s="17">
        <f>'Forecast Input'!O25</f>
        <v>1500</v>
      </c>
      <c r="O41" s="46">
        <f>SUM(C41:N41)</f>
        <v>18000</v>
      </c>
    </row>
    <row r="42" spans="1:15">
      <c r="A42" s="47"/>
      <c r="B42" s="86" t="s">
        <v>196</v>
      </c>
      <c r="C42" s="153">
        <f>IF(C39=0,"-",C39-C41)</f>
        <v>1460.8800350000001</v>
      </c>
      <c r="D42" s="153">
        <f t="shared" ref="D42:N42" si="20">IF(D39=0,"-",D39-D41)</f>
        <v>-812.62397099999998</v>
      </c>
      <c r="E42" s="153">
        <f t="shared" si="20"/>
        <v>-3033</v>
      </c>
      <c r="F42" s="153" t="str">
        <f t="shared" si="20"/>
        <v>-</v>
      </c>
      <c r="G42" s="153" t="str">
        <f t="shared" si="20"/>
        <v>-</v>
      </c>
      <c r="H42" s="153" t="str">
        <f t="shared" si="20"/>
        <v>-</v>
      </c>
      <c r="I42" s="153" t="str">
        <f t="shared" si="20"/>
        <v>-</v>
      </c>
      <c r="J42" s="153" t="str">
        <f t="shared" si="20"/>
        <v>-</v>
      </c>
      <c r="K42" s="153" t="str">
        <f t="shared" si="20"/>
        <v>-</v>
      </c>
      <c r="L42" s="153" t="str">
        <f t="shared" si="20"/>
        <v>-</v>
      </c>
      <c r="M42" s="153" t="str">
        <f t="shared" si="20"/>
        <v>-</v>
      </c>
      <c r="N42" s="153" t="str">
        <f t="shared" si="20"/>
        <v>-</v>
      </c>
      <c r="O42" s="48"/>
    </row>
    <row r="43" spans="1:15">
      <c r="A43" s="47"/>
      <c r="B43" s="86" t="s">
        <v>197</v>
      </c>
      <c r="C43" s="154">
        <f>IFERROR(C42/C39,"-")</f>
        <v>0.49339386186917905</v>
      </c>
      <c r="D43" s="154">
        <f t="shared" ref="D43:N43" si="21">IFERROR(D42/D39,"-")</f>
        <v>-1.1822116814026984</v>
      </c>
      <c r="E43" s="154">
        <f t="shared" si="21"/>
        <v>1.9784735812133072</v>
      </c>
      <c r="F43" s="154" t="str">
        <f t="shared" si="21"/>
        <v>-</v>
      </c>
      <c r="G43" s="154" t="str">
        <f t="shared" si="21"/>
        <v>-</v>
      </c>
      <c r="H43" s="154" t="str">
        <f t="shared" si="21"/>
        <v>-</v>
      </c>
      <c r="I43" s="154" t="str">
        <f t="shared" si="21"/>
        <v>-</v>
      </c>
      <c r="J43" s="154" t="str">
        <f t="shared" si="21"/>
        <v>-</v>
      </c>
      <c r="K43" s="154" t="str">
        <f t="shared" si="21"/>
        <v>-</v>
      </c>
      <c r="L43" s="154" t="str">
        <f t="shared" si="21"/>
        <v>-</v>
      </c>
      <c r="M43" s="154" t="str">
        <f t="shared" si="21"/>
        <v>-</v>
      </c>
      <c r="N43" s="154" t="str">
        <f t="shared" si="21"/>
        <v>-</v>
      </c>
      <c r="O43" s="48"/>
    </row>
    <row r="44" spans="1:15">
      <c r="A44" s="47"/>
      <c r="B44" s="86" t="s">
        <v>198</v>
      </c>
      <c r="C44" s="153">
        <f t="shared" ref="C44:N44" si="22">IFERROR(C41-C40,"-")</f>
        <v>1500</v>
      </c>
      <c r="D44" s="153">
        <f t="shared" si="22"/>
        <v>1500</v>
      </c>
      <c r="E44" s="153">
        <f t="shared" si="22"/>
        <v>1500</v>
      </c>
      <c r="F44" s="153">
        <f t="shared" si="22"/>
        <v>1500</v>
      </c>
      <c r="G44" s="153">
        <f t="shared" si="22"/>
        <v>1500</v>
      </c>
      <c r="H44" s="153">
        <f t="shared" si="22"/>
        <v>1500</v>
      </c>
      <c r="I44" s="153">
        <f t="shared" si="22"/>
        <v>1500</v>
      </c>
      <c r="J44" s="153">
        <f t="shared" si="22"/>
        <v>1500</v>
      </c>
      <c r="K44" s="153">
        <f t="shared" si="22"/>
        <v>1500</v>
      </c>
      <c r="L44" s="153">
        <f t="shared" si="22"/>
        <v>1500</v>
      </c>
      <c r="M44" s="153">
        <f t="shared" si="22"/>
        <v>1500</v>
      </c>
      <c r="N44" s="153">
        <f t="shared" si="22"/>
        <v>1500</v>
      </c>
      <c r="O44" s="48"/>
    </row>
    <row r="45" spans="1:15" ht="15.95" thickBot="1">
      <c r="A45" s="49"/>
      <c r="B45" s="155" t="s">
        <v>199</v>
      </c>
      <c r="C45" s="154" t="str">
        <f>IFERROR(C44/C40,"-")</f>
        <v>-</v>
      </c>
      <c r="D45" s="154" t="str">
        <f t="shared" ref="D45:N45" si="23">IFERROR(D44/D40,"-")</f>
        <v>-</v>
      </c>
      <c r="E45" s="154" t="str">
        <f t="shared" si="23"/>
        <v>-</v>
      </c>
      <c r="F45" s="154" t="str">
        <f t="shared" si="23"/>
        <v>-</v>
      </c>
      <c r="G45" s="154" t="str">
        <f t="shared" si="23"/>
        <v>-</v>
      </c>
      <c r="H45" s="154" t="str">
        <f t="shared" si="23"/>
        <v>-</v>
      </c>
      <c r="I45" s="154" t="str">
        <f t="shared" si="23"/>
        <v>-</v>
      </c>
      <c r="J45" s="154" t="str">
        <f t="shared" si="23"/>
        <v>-</v>
      </c>
      <c r="K45" s="154" t="str">
        <f t="shared" si="23"/>
        <v>-</v>
      </c>
      <c r="L45" s="154" t="str">
        <f t="shared" si="23"/>
        <v>-</v>
      </c>
      <c r="M45" s="154" t="str">
        <f t="shared" si="23"/>
        <v>-</v>
      </c>
      <c r="N45" s="154" t="str">
        <f t="shared" si="23"/>
        <v>-</v>
      </c>
      <c r="O45" s="50"/>
    </row>
    <row r="46" spans="1:15">
      <c r="A46" s="39" t="s">
        <v>73</v>
      </c>
      <c r="B46" s="40" t="s">
        <v>194</v>
      </c>
      <c r="C46" s="41">
        <f>'Forecast Input'!D26</f>
        <v>1721.441607</v>
      </c>
      <c r="D46" s="41">
        <f>'Forecast Input'!E26</f>
        <v>4112.9450440000001</v>
      </c>
      <c r="E46" s="41">
        <f>'Forecast Input'!F26</f>
        <v>4550</v>
      </c>
      <c r="F46" s="41">
        <f>'Forecast Input'!G26</f>
        <v>0</v>
      </c>
      <c r="G46" s="41">
        <f>'Forecast Input'!H26</f>
        <v>0</v>
      </c>
      <c r="H46" s="41">
        <f>'Forecast Input'!I26</f>
        <v>0</v>
      </c>
      <c r="I46" s="41">
        <f>'Forecast Input'!J26</f>
        <v>0</v>
      </c>
      <c r="J46" s="41">
        <f>'Forecast Input'!K26</f>
        <v>0</v>
      </c>
      <c r="K46" s="41">
        <f>'Forecast Input'!L26</f>
        <v>0</v>
      </c>
      <c r="L46" s="41">
        <f>'Forecast Input'!M26</f>
        <v>0</v>
      </c>
      <c r="M46" s="41">
        <f>'Forecast Input'!N26</f>
        <v>0</v>
      </c>
      <c r="N46" s="41">
        <f>'Forecast Input'!O26</f>
        <v>0</v>
      </c>
      <c r="O46" s="42">
        <f>SUM(C46:N46)</f>
        <v>10384.386651000001</v>
      </c>
    </row>
    <row r="47" spans="1:15">
      <c r="A47" s="43"/>
      <c r="B47" s="33" t="s">
        <v>23</v>
      </c>
      <c r="C47" s="22">
        <v>3058</v>
      </c>
      <c r="D47" s="22">
        <v>3502</v>
      </c>
      <c r="E47" s="22">
        <v>7933</v>
      </c>
      <c r="F47" s="22">
        <v>8902</v>
      </c>
      <c r="G47" s="22">
        <v>5388</v>
      </c>
      <c r="H47" s="22">
        <v>6036</v>
      </c>
      <c r="I47" s="22">
        <v>10584</v>
      </c>
      <c r="J47" s="22">
        <v>7942</v>
      </c>
      <c r="K47" s="22">
        <v>876</v>
      </c>
      <c r="L47" s="22">
        <v>7170</v>
      </c>
      <c r="M47" s="22">
        <v>3508</v>
      </c>
      <c r="N47" s="22">
        <v>3201</v>
      </c>
      <c r="O47" s="44">
        <f>SUM(C47:N47)</f>
        <v>68100</v>
      </c>
    </row>
    <row r="48" spans="1:15">
      <c r="A48" s="45"/>
      <c r="B48" s="34" t="s">
        <v>160</v>
      </c>
      <c r="C48" s="17">
        <f>'Forecast Input'!D27</f>
        <v>10000</v>
      </c>
      <c r="D48" s="17">
        <f>'Forecast Input'!E27</f>
        <v>5000</v>
      </c>
      <c r="E48" s="17">
        <f>'Forecast Input'!F27</f>
        <v>10000</v>
      </c>
      <c r="F48" s="17">
        <f>'Forecast Input'!G27</f>
        <v>7500</v>
      </c>
      <c r="G48" s="17">
        <f>'Forecast Input'!H27</f>
        <v>8000</v>
      </c>
      <c r="H48" s="17">
        <f>'Forecast Input'!I27</f>
        <v>8000</v>
      </c>
      <c r="I48" s="17">
        <f>'Forecast Input'!J27</f>
        <v>8500</v>
      </c>
      <c r="J48" s="17">
        <f>'Forecast Input'!K27</f>
        <v>8500</v>
      </c>
      <c r="K48" s="17">
        <f>'Forecast Input'!L27</f>
        <v>7500</v>
      </c>
      <c r="L48" s="17">
        <f>'Forecast Input'!M27</f>
        <v>10000</v>
      </c>
      <c r="M48" s="17">
        <f>'Forecast Input'!N27</f>
        <v>10000</v>
      </c>
      <c r="N48" s="17">
        <f>'Forecast Input'!O27</f>
        <v>8500</v>
      </c>
      <c r="O48" s="46">
        <f>SUM(C48:N48)</f>
        <v>101500</v>
      </c>
    </row>
    <row r="49" spans="1:15">
      <c r="A49" s="47"/>
      <c r="B49" s="86" t="s">
        <v>196</v>
      </c>
      <c r="C49" s="153">
        <f>IF(C46=0,"-",C46-C48)</f>
        <v>-8278.5583929999993</v>
      </c>
      <c r="D49" s="153">
        <f t="shared" ref="D49:N49" si="24">IF(D46=0,"-",D46-D48)</f>
        <v>-887.05495599999995</v>
      </c>
      <c r="E49" s="153">
        <f t="shared" si="24"/>
        <v>-5450</v>
      </c>
      <c r="F49" s="153" t="str">
        <f t="shared" si="24"/>
        <v>-</v>
      </c>
      <c r="G49" s="153" t="str">
        <f t="shared" si="24"/>
        <v>-</v>
      </c>
      <c r="H49" s="153" t="str">
        <f t="shared" si="24"/>
        <v>-</v>
      </c>
      <c r="I49" s="153" t="str">
        <f t="shared" si="24"/>
        <v>-</v>
      </c>
      <c r="J49" s="153" t="str">
        <f t="shared" si="24"/>
        <v>-</v>
      </c>
      <c r="K49" s="153" t="str">
        <f t="shared" si="24"/>
        <v>-</v>
      </c>
      <c r="L49" s="153" t="str">
        <f t="shared" si="24"/>
        <v>-</v>
      </c>
      <c r="M49" s="153" t="str">
        <f t="shared" si="24"/>
        <v>-</v>
      </c>
      <c r="N49" s="153" t="str">
        <f t="shared" si="24"/>
        <v>-</v>
      </c>
      <c r="O49" s="48"/>
    </row>
    <row r="50" spans="1:15">
      <c r="A50" s="47"/>
      <c r="B50" s="86" t="s">
        <v>197</v>
      </c>
      <c r="C50" s="154">
        <f>IFERROR(C49/C46,"-")</f>
        <v>-4.8090846412311672</v>
      </c>
      <c r="D50" s="154">
        <f t="shared" ref="D50:N50" si="25">IFERROR(D49/D46,"-")</f>
        <v>-0.21567391407138867</v>
      </c>
      <c r="E50" s="154">
        <f t="shared" si="25"/>
        <v>-1.1978021978021978</v>
      </c>
      <c r="F50" s="154" t="str">
        <f t="shared" si="25"/>
        <v>-</v>
      </c>
      <c r="G50" s="154" t="str">
        <f t="shared" si="25"/>
        <v>-</v>
      </c>
      <c r="H50" s="154" t="str">
        <f t="shared" si="25"/>
        <v>-</v>
      </c>
      <c r="I50" s="154" t="str">
        <f t="shared" si="25"/>
        <v>-</v>
      </c>
      <c r="J50" s="154" t="str">
        <f t="shared" si="25"/>
        <v>-</v>
      </c>
      <c r="K50" s="154" t="str">
        <f t="shared" si="25"/>
        <v>-</v>
      </c>
      <c r="L50" s="154" t="str">
        <f t="shared" si="25"/>
        <v>-</v>
      </c>
      <c r="M50" s="154" t="str">
        <f t="shared" si="25"/>
        <v>-</v>
      </c>
      <c r="N50" s="154" t="str">
        <f t="shared" si="25"/>
        <v>-</v>
      </c>
      <c r="O50" s="48"/>
    </row>
    <row r="51" spans="1:15">
      <c r="A51" s="47"/>
      <c r="B51" s="86" t="s">
        <v>198</v>
      </c>
      <c r="C51" s="153">
        <f t="shared" ref="C51:N51" si="26">IFERROR(C48-C47,"-")</f>
        <v>6942</v>
      </c>
      <c r="D51" s="153">
        <f t="shared" si="26"/>
        <v>1498</v>
      </c>
      <c r="E51" s="153">
        <f t="shared" si="26"/>
        <v>2067</v>
      </c>
      <c r="F51" s="153">
        <f t="shared" si="26"/>
        <v>-1402</v>
      </c>
      <c r="G51" s="153">
        <f t="shared" si="26"/>
        <v>2612</v>
      </c>
      <c r="H51" s="153">
        <f t="shared" si="26"/>
        <v>1964</v>
      </c>
      <c r="I51" s="153">
        <f t="shared" si="26"/>
        <v>-2084</v>
      </c>
      <c r="J51" s="153">
        <f t="shared" si="26"/>
        <v>558</v>
      </c>
      <c r="K51" s="153">
        <f t="shared" si="26"/>
        <v>6624</v>
      </c>
      <c r="L51" s="153">
        <f t="shared" si="26"/>
        <v>2830</v>
      </c>
      <c r="M51" s="153">
        <f t="shared" si="26"/>
        <v>6492</v>
      </c>
      <c r="N51" s="153">
        <f t="shared" si="26"/>
        <v>5299</v>
      </c>
      <c r="O51" s="48"/>
    </row>
    <row r="52" spans="1:15" ht="15.95" thickBot="1">
      <c r="A52" s="49"/>
      <c r="B52" s="155" t="s">
        <v>199</v>
      </c>
      <c r="C52" s="154">
        <f>IFERROR(C51/C47,"-")</f>
        <v>2.2701111837802483</v>
      </c>
      <c r="D52" s="154">
        <f t="shared" ref="D52:N52" si="27">IFERROR(D51/D47,"-")</f>
        <v>0.42775556824671618</v>
      </c>
      <c r="E52" s="154">
        <f t="shared" si="27"/>
        <v>0.2605571662674902</v>
      </c>
      <c r="F52" s="154">
        <f t="shared" si="27"/>
        <v>-0.15749269827005166</v>
      </c>
      <c r="G52" s="154">
        <f t="shared" si="27"/>
        <v>0.48478099480326653</v>
      </c>
      <c r="H52" s="154">
        <f t="shared" si="27"/>
        <v>0.32538104705102716</v>
      </c>
      <c r="I52" s="154">
        <f t="shared" si="27"/>
        <v>-0.19690098261526834</v>
      </c>
      <c r="J52" s="154">
        <f t="shared" si="27"/>
        <v>7.0259380508687991E-2</v>
      </c>
      <c r="K52" s="154">
        <f t="shared" si="27"/>
        <v>7.5616438356164384</v>
      </c>
      <c r="L52" s="154">
        <f t="shared" si="27"/>
        <v>0.39470013947001392</v>
      </c>
      <c r="M52" s="154">
        <f t="shared" si="27"/>
        <v>1.8506271379703534</v>
      </c>
      <c r="N52" s="154">
        <f t="shared" si="27"/>
        <v>1.6554201811933771</v>
      </c>
      <c r="O52" s="50"/>
    </row>
    <row r="53" spans="1:15">
      <c r="A53" s="39" t="s">
        <v>74</v>
      </c>
      <c r="B53" s="40" t="s">
        <v>194</v>
      </c>
      <c r="C53" s="41">
        <f>'Forecast Input'!D28</f>
        <v>8337.3098520000003</v>
      </c>
      <c r="D53" s="41">
        <f>'Forecast Input'!E28</f>
        <v>3992.095781</v>
      </c>
      <c r="E53" s="41">
        <f>'Forecast Input'!F28</f>
        <v>1794</v>
      </c>
      <c r="F53" s="41">
        <f>'Forecast Input'!G28</f>
        <v>0</v>
      </c>
      <c r="G53" s="41">
        <f>'Forecast Input'!H28</f>
        <v>0</v>
      </c>
      <c r="H53" s="41">
        <f>'Forecast Input'!I28</f>
        <v>0</v>
      </c>
      <c r="I53" s="41">
        <f>'Forecast Input'!J28</f>
        <v>0</v>
      </c>
      <c r="J53" s="41">
        <f>'Forecast Input'!K28</f>
        <v>0</v>
      </c>
      <c r="K53" s="41">
        <f>'Forecast Input'!L28</f>
        <v>0</v>
      </c>
      <c r="L53" s="41">
        <f>'Forecast Input'!M28</f>
        <v>0</v>
      </c>
      <c r="M53" s="41">
        <f>'Forecast Input'!N28</f>
        <v>0</v>
      </c>
      <c r="N53" s="41">
        <f>'Forecast Input'!O28</f>
        <v>0</v>
      </c>
      <c r="O53" s="42">
        <f>SUM(C53:N53)</f>
        <v>14123.405633</v>
      </c>
    </row>
    <row r="54" spans="1:15">
      <c r="A54" s="43"/>
      <c r="B54" s="33" t="s">
        <v>23</v>
      </c>
      <c r="C54" s="22"/>
      <c r="D54" s="22"/>
      <c r="E54" s="22"/>
      <c r="F54" s="22"/>
      <c r="G54" s="22"/>
      <c r="H54" s="22"/>
      <c r="I54" s="22"/>
      <c r="J54" s="22"/>
      <c r="K54" s="22"/>
      <c r="L54" s="22"/>
      <c r="M54" s="22"/>
      <c r="N54" s="22"/>
      <c r="O54" s="44">
        <f>SUM(C54:N54)</f>
        <v>0</v>
      </c>
    </row>
    <row r="55" spans="1:15">
      <c r="A55" s="45"/>
      <c r="B55" s="34" t="s">
        <v>160</v>
      </c>
      <c r="C55" s="17">
        <f>'Forecast Input'!D29</f>
        <v>3000</v>
      </c>
      <c r="D55" s="17">
        <f>'Forecast Input'!E29</f>
        <v>8000</v>
      </c>
      <c r="E55" s="17">
        <f>'Forecast Input'!F29</f>
        <v>8000</v>
      </c>
      <c r="F55" s="17">
        <f>'Forecast Input'!G29</f>
        <v>5500</v>
      </c>
      <c r="G55" s="17">
        <f>'Forecast Input'!H29</f>
        <v>5500</v>
      </c>
      <c r="H55" s="17">
        <f>'Forecast Input'!I29</f>
        <v>5500</v>
      </c>
      <c r="I55" s="17">
        <f>'Forecast Input'!J29</f>
        <v>5500</v>
      </c>
      <c r="J55" s="17">
        <f>'Forecast Input'!K29</f>
        <v>5500</v>
      </c>
      <c r="K55" s="17">
        <f>'Forecast Input'!L29</f>
        <v>5500</v>
      </c>
      <c r="L55" s="17">
        <f>'Forecast Input'!M29</f>
        <v>5500</v>
      </c>
      <c r="M55" s="17">
        <f>'Forecast Input'!N29</f>
        <v>5500</v>
      </c>
      <c r="N55" s="17">
        <f>'Forecast Input'!O29</f>
        <v>5500</v>
      </c>
      <c r="O55" s="46">
        <f>SUM(C55:N55)</f>
        <v>68500</v>
      </c>
    </row>
    <row r="56" spans="1:15">
      <c r="A56" s="47"/>
      <c r="B56" s="86" t="s">
        <v>196</v>
      </c>
      <c r="C56" s="153">
        <f>IF(C53=0,"-",C53-C55)</f>
        <v>5337.3098520000003</v>
      </c>
      <c r="D56" s="153">
        <f t="shared" ref="D56:N56" si="28">IF(D53=0,"-",D53-D55)</f>
        <v>-4007.904219</v>
      </c>
      <c r="E56" s="153">
        <f t="shared" si="28"/>
        <v>-6206</v>
      </c>
      <c r="F56" s="153" t="str">
        <f t="shared" si="28"/>
        <v>-</v>
      </c>
      <c r="G56" s="153" t="str">
        <f t="shared" si="28"/>
        <v>-</v>
      </c>
      <c r="H56" s="153" t="str">
        <f t="shared" si="28"/>
        <v>-</v>
      </c>
      <c r="I56" s="153" t="str">
        <f t="shared" si="28"/>
        <v>-</v>
      </c>
      <c r="J56" s="153" t="str">
        <f t="shared" si="28"/>
        <v>-</v>
      </c>
      <c r="K56" s="153" t="str">
        <f t="shared" si="28"/>
        <v>-</v>
      </c>
      <c r="L56" s="153" t="str">
        <f t="shared" si="28"/>
        <v>-</v>
      </c>
      <c r="M56" s="153" t="str">
        <f t="shared" si="28"/>
        <v>-</v>
      </c>
      <c r="N56" s="153" t="str">
        <f t="shared" si="28"/>
        <v>-</v>
      </c>
      <c r="O56" s="48"/>
    </row>
    <row r="57" spans="1:15">
      <c r="A57" s="47"/>
      <c r="B57" s="86" t="s">
        <v>197</v>
      </c>
      <c r="C57" s="154">
        <f>IFERROR(C56/C53,"-")</f>
        <v>0.64017170367245702</v>
      </c>
      <c r="D57" s="154">
        <f t="shared" ref="D57:N57" si="29">IFERROR(D56/D53,"-")</f>
        <v>-1.0039599345474721</v>
      </c>
      <c r="E57" s="154">
        <f t="shared" si="29"/>
        <v>-3.4593088071348941</v>
      </c>
      <c r="F57" s="154" t="str">
        <f t="shared" si="29"/>
        <v>-</v>
      </c>
      <c r="G57" s="154" t="str">
        <f t="shared" si="29"/>
        <v>-</v>
      </c>
      <c r="H57" s="154" t="str">
        <f t="shared" si="29"/>
        <v>-</v>
      </c>
      <c r="I57" s="154" t="str">
        <f t="shared" si="29"/>
        <v>-</v>
      </c>
      <c r="J57" s="154" t="str">
        <f t="shared" si="29"/>
        <v>-</v>
      </c>
      <c r="K57" s="154" t="str">
        <f t="shared" si="29"/>
        <v>-</v>
      </c>
      <c r="L57" s="154" t="str">
        <f t="shared" si="29"/>
        <v>-</v>
      </c>
      <c r="M57" s="154" t="str">
        <f t="shared" si="29"/>
        <v>-</v>
      </c>
      <c r="N57" s="154" t="str">
        <f t="shared" si="29"/>
        <v>-</v>
      </c>
      <c r="O57" s="48"/>
    </row>
    <row r="58" spans="1:15">
      <c r="A58" s="47"/>
      <c r="B58" s="86" t="s">
        <v>198</v>
      </c>
      <c r="C58" s="153">
        <f t="shared" ref="C58:N58" si="30">IFERROR(C55-C54,"-")</f>
        <v>3000</v>
      </c>
      <c r="D58" s="153">
        <f t="shared" si="30"/>
        <v>8000</v>
      </c>
      <c r="E58" s="153">
        <f t="shared" si="30"/>
        <v>8000</v>
      </c>
      <c r="F58" s="153">
        <f t="shared" si="30"/>
        <v>5500</v>
      </c>
      <c r="G58" s="153">
        <f t="shared" si="30"/>
        <v>5500</v>
      </c>
      <c r="H58" s="153">
        <f t="shared" si="30"/>
        <v>5500</v>
      </c>
      <c r="I58" s="153">
        <f t="shared" si="30"/>
        <v>5500</v>
      </c>
      <c r="J58" s="153">
        <f t="shared" si="30"/>
        <v>5500</v>
      </c>
      <c r="K58" s="153">
        <f t="shared" si="30"/>
        <v>5500</v>
      </c>
      <c r="L58" s="153">
        <f t="shared" si="30"/>
        <v>5500</v>
      </c>
      <c r="M58" s="153">
        <f t="shared" si="30"/>
        <v>5500</v>
      </c>
      <c r="N58" s="153">
        <f t="shared" si="30"/>
        <v>5500</v>
      </c>
      <c r="O58" s="48"/>
    </row>
    <row r="59" spans="1:15" ht="15.95" thickBot="1">
      <c r="A59" s="49"/>
      <c r="B59" s="155" t="s">
        <v>199</v>
      </c>
      <c r="C59" s="154" t="str">
        <f>IFERROR(C58/C54,"-")</f>
        <v>-</v>
      </c>
      <c r="D59" s="154" t="str">
        <f t="shared" ref="D59:N59" si="31">IFERROR(D58/D54,"-")</f>
        <v>-</v>
      </c>
      <c r="E59" s="154" t="str">
        <f t="shared" si="31"/>
        <v>-</v>
      </c>
      <c r="F59" s="154" t="str">
        <f t="shared" si="31"/>
        <v>-</v>
      </c>
      <c r="G59" s="154" t="str">
        <f t="shared" si="31"/>
        <v>-</v>
      </c>
      <c r="H59" s="154" t="str">
        <f t="shared" si="31"/>
        <v>-</v>
      </c>
      <c r="I59" s="154" t="str">
        <f t="shared" si="31"/>
        <v>-</v>
      </c>
      <c r="J59" s="154" t="str">
        <f t="shared" si="31"/>
        <v>-</v>
      </c>
      <c r="K59" s="154" t="str">
        <f t="shared" si="31"/>
        <v>-</v>
      </c>
      <c r="L59" s="154" t="str">
        <f t="shared" si="31"/>
        <v>-</v>
      </c>
      <c r="M59" s="154" t="str">
        <f t="shared" si="31"/>
        <v>-</v>
      </c>
      <c r="N59" s="154" t="str">
        <f t="shared" si="31"/>
        <v>-</v>
      </c>
      <c r="O59" s="50"/>
    </row>
    <row r="60" spans="1:15">
      <c r="A60" s="39" t="s">
        <v>75</v>
      </c>
      <c r="B60" s="40" t="s">
        <v>194</v>
      </c>
      <c r="C60" s="41">
        <f>'Forecast Input'!D30</f>
        <v>0.64896399999999999</v>
      </c>
      <c r="D60" s="41">
        <f>'Forecast Input'!E30</f>
        <v>0</v>
      </c>
      <c r="E60" s="41">
        <f>'Forecast Input'!F30</f>
        <v>0</v>
      </c>
      <c r="F60" s="41">
        <f>'Forecast Input'!G30</f>
        <v>0</v>
      </c>
      <c r="G60" s="41">
        <f>'Forecast Input'!H30</f>
        <v>0</v>
      </c>
      <c r="H60" s="41">
        <f>'Forecast Input'!I30</f>
        <v>0</v>
      </c>
      <c r="I60" s="41">
        <f>'Forecast Input'!J30</f>
        <v>0</v>
      </c>
      <c r="J60" s="41">
        <f>'Forecast Input'!K30</f>
        <v>0</v>
      </c>
      <c r="K60" s="41">
        <f>'Forecast Input'!L30</f>
        <v>0</v>
      </c>
      <c r="L60" s="41">
        <f>'Forecast Input'!M30</f>
        <v>0</v>
      </c>
      <c r="M60" s="41">
        <f>'Forecast Input'!N30</f>
        <v>0</v>
      </c>
      <c r="N60" s="41">
        <f>'Forecast Input'!O30</f>
        <v>0</v>
      </c>
      <c r="O60" s="42">
        <f>SUM(C60:N60)</f>
        <v>0.64896399999999999</v>
      </c>
    </row>
    <row r="61" spans="1:15">
      <c r="A61" s="43"/>
      <c r="B61" s="33" t="s">
        <v>23</v>
      </c>
      <c r="C61" s="22"/>
      <c r="D61" s="22"/>
      <c r="E61" s="22"/>
      <c r="F61" s="22"/>
      <c r="G61" s="22"/>
      <c r="H61" s="22"/>
      <c r="I61" s="22"/>
      <c r="J61" s="22"/>
      <c r="K61" s="22"/>
      <c r="L61" s="22"/>
      <c r="M61" s="22"/>
      <c r="N61" s="22"/>
      <c r="O61" s="44">
        <f>SUM(C61:N61)</f>
        <v>0</v>
      </c>
    </row>
    <row r="62" spans="1:15">
      <c r="A62" s="45"/>
      <c r="B62" s="34" t="s">
        <v>160</v>
      </c>
      <c r="C62" s="17">
        <f>'Forecast Input'!D31</f>
        <v>0</v>
      </c>
      <c r="D62" s="17">
        <f>'Forecast Input'!E31</f>
        <v>0</v>
      </c>
      <c r="E62" s="17">
        <f>'Forecast Input'!F31</f>
        <v>0</v>
      </c>
      <c r="F62" s="17">
        <f>'Forecast Input'!G31</f>
        <v>0</v>
      </c>
      <c r="G62" s="17">
        <f>'Forecast Input'!H31</f>
        <v>0</v>
      </c>
      <c r="H62" s="17">
        <f>'Forecast Input'!I31</f>
        <v>0</v>
      </c>
      <c r="I62" s="17">
        <f>'Forecast Input'!J31</f>
        <v>0</v>
      </c>
      <c r="J62" s="17">
        <f>'Forecast Input'!K31</f>
        <v>0</v>
      </c>
      <c r="K62" s="17">
        <f>'Forecast Input'!L31</f>
        <v>0</v>
      </c>
      <c r="L62" s="17">
        <f>'Forecast Input'!M31</f>
        <v>0</v>
      </c>
      <c r="M62" s="17">
        <f>'Forecast Input'!N31</f>
        <v>0</v>
      </c>
      <c r="N62" s="17">
        <f>'Forecast Input'!O31</f>
        <v>0</v>
      </c>
      <c r="O62" s="46">
        <f>SUM(C62:N62)</f>
        <v>0</v>
      </c>
    </row>
    <row r="63" spans="1:15">
      <c r="A63" s="47"/>
      <c r="B63" s="86" t="s">
        <v>196</v>
      </c>
      <c r="C63" s="153">
        <f>IF(C60=0,"-",C60-C62)</f>
        <v>0.64896399999999999</v>
      </c>
      <c r="D63" s="153" t="str">
        <f t="shared" ref="D63:N63" si="32">IF(D60=0,"-",D60-D62)</f>
        <v>-</v>
      </c>
      <c r="E63" s="153" t="str">
        <f t="shared" si="32"/>
        <v>-</v>
      </c>
      <c r="F63" s="153" t="str">
        <f t="shared" si="32"/>
        <v>-</v>
      </c>
      <c r="G63" s="153" t="str">
        <f t="shared" si="32"/>
        <v>-</v>
      </c>
      <c r="H63" s="153" t="str">
        <f t="shared" si="32"/>
        <v>-</v>
      </c>
      <c r="I63" s="153" t="str">
        <f t="shared" si="32"/>
        <v>-</v>
      </c>
      <c r="J63" s="153" t="str">
        <f t="shared" si="32"/>
        <v>-</v>
      </c>
      <c r="K63" s="153" t="str">
        <f t="shared" si="32"/>
        <v>-</v>
      </c>
      <c r="L63" s="153" t="str">
        <f t="shared" si="32"/>
        <v>-</v>
      </c>
      <c r="M63" s="153" t="str">
        <f t="shared" si="32"/>
        <v>-</v>
      </c>
      <c r="N63" s="153" t="str">
        <f t="shared" si="32"/>
        <v>-</v>
      </c>
      <c r="O63" s="48"/>
    </row>
    <row r="64" spans="1:15">
      <c r="A64" s="47"/>
      <c r="B64" s="86" t="s">
        <v>197</v>
      </c>
      <c r="C64" s="154">
        <f>IFERROR(C63/C60,"-")</f>
        <v>1</v>
      </c>
      <c r="D64" s="154" t="str">
        <f t="shared" ref="D64:N64" si="33">IFERROR(D63/D60,"-")</f>
        <v>-</v>
      </c>
      <c r="E64" s="154" t="str">
        <f t="shared" si="33"/>
        <v>-</v>
      </c>
      <c r="F64" s="154" t="str">
        <f t="shared" si="33"/>
        <v>-</v>
      </c>
      <c r="G64" s="154" t="str">
        <f t="shared" si="33"/>
        <v>-</v>
      </c>
      <c r="H64" s="154" t="str">
        <f t="shared" si="33"/>
        <v>-</v>
      </c>
      <c r="I64" s="154" t="str">
        <f t="shared" si="33"/>
        <v>-</v>
      </c>
      <c r="J64" s="154" t="str">
        <f t="shared" si="33"/>
        <v>-</v>
      </c>
      <c r="K64" s="154" t="str">
        <f t="shared" si="33"/>
        <v>-</v>
      </c>
      <c r="L64" s="154" t="str">
        <f t="shared" si="33"/>
        <v>-</v>
      </c>
      <c r="M64" s="154" t="str">
        <f t="shared" si="33"/>
        <v>-</v>
      </c>
      <c r="N64" s="154" t="str">
        <f t="shared" si="33"/>
        <v>-</v>
      </c>
      <c r="O64" s="48"/>
    </row>
    <row r="65" spans="1:15">
      <c r="A65" s="47"/>
      <c r="B65" s="86" t="s">
        <v>198</v>
      </c>
      <c r="C65" s="153">
        <f t="shared" ref="C65:N65" si="34">IFERROR(C62-C61,"-")</f>
        <v>0</v>
      </c>
      <c r="D65" s="153">
        <f t="shared" si="34"/>
        <v>0</v>
      </c>
      <c r="E65" s="153">
        <f t="shared" si="34"/>
        <v>0</v>
      </c>
      <c r="F65" s="153">
        <f t="shared" si="34"/>
        <v>0</v>
      </c>
      <c r="G65" s="153">
        <f t="shared" si="34"/>
        <v>0</v>
      </c>
      <c r="H65" s="153">
        <f t="shared" si="34"/>
        <v>0</v>
      </c>
      <c r="I65" s="153">
        <f t="shared" si="34"/>
        <v>0</v>
      </c>
      <c r="J65" s="153">
        <f t="shared" si="34"/>
        <v>0</v>
      </c>
      <c r="K65" s="153">
        <f t="shared" si="34"/>
        <v>0</v>
      </c>
      <c r="L65" s="153">
        <f t="shared" si="34"/>
        <v>0</v>
      </c>
      <c r="M65" s="153">
        <f t="shared" si="34"/>
        <v>0</v>
      </c>
      <c r="N65" s="153">
        <f t="shared" si="34"/>
        <v>0</v>
      </c>
      <c r="O65" s="48"/>
    </row>
    <row r="66" spans="1:15" ht="15.95" thickBot="1">
      <c r="A66" s="49"/>
      <c r="B66" s="155" t="s">
        <v>199</v>
      </c>
      <c r="C66" s="154" t="str">
        <f>IFERROR(C65/C61,"-")</f>
        <v>-</v>
      </c>
      <c r="D66" s="154" t="str">
        <f t="shared" ref="D66:N66" si="35">IFERROR(D65/D61,"-")</f>
        <v>-</v>
      </c>
      <c r="E66" s="154" t="str">
        <f t="shared" si="35"/>
        <v>-</v>
      </c>
      <c r="F66" s="154" t="str">
        <f t="shared" si="35"/>
        <v>-</v>
      </c>
      <c r="G66" s="154" t="str">
        <f t="shared" si="35"/>
        <v>-</v>
      </c>
      <c r="H66" s="154" t="str">
        <f t="shared" si="35"/>
        <v>-</v>
      </c>
      <c r="I66" s="154" t="str">
        <f t="shared" si="35"/>
        <v>-</v>
      </c>
      <c r="J66" s="154" t="str">
        <f t="shared" si="35"/>
        <v>-</v>
      </c>
      <c r="K66" s="154" t="str">
        <f t="shared" si="35"/>
        <v>-</v>
      </c>
      <c r="L66" s="154" t="str">
        <f t="shared" si="35"/>
        <v>-</v>
      </c>
      <c r="M66" s="154" t="str">
        <f t="shared" si="35"/>
        <v>-</v>
      </c>
      <c r="N66" s="154" t="str">
        <f t="shared" si="35"/>
        <v>-</v>
      </c>
      <c r="O66" s="50"/>
    </row>
    <row r="67" spans="1:15">
      <c r="A67" s="39" t="s">
        <v>77</v>
      </c>
      <c r="B67" s="40" t="s">
        <v>194</v>
      </c>
      <c r="C67" s="41">
        <f>'Forecast Input'!D32</f>
        <v>601.71931600000005</v>
      </c>
      <c r="D67" s="41">
        <f>'Forecast Input'!E32</f>
        <v>224.092915</v>
      </c>
      <c r="E67" s="41">
        <f>'Forecast Input'!F32</f>
        <v>15</v>
      </c>
      <c r="F67" s="41">
        <f>'Forecast Input'!G32</f>
        <v>0</v>
      </c>
      <c r="G67" s="41">
        <f>'Forecast Input'!H32</f>
        <v>0</v>
      </c>
      <c r="H67" s="41">
        <f>'Forecast Input'!I32</f>
        <v>0</v>
      </c>
      <c r="I67" s="41">
        <f>'Forecast Input'!J32</f>
        <v>0</v>
      </c>
      <c r="J67" s="41">
        <f>'Forecast Input'!K32</f>
        <v>0</v>
      </c>
      <c r="K67" s="41">
        <f>'Forecast Input'!L32</f>
        <v>0</v>
      </c>
      <c r="L67" s="41">
        <f>'Forecast Input'!M32</f>
        <v>0</v>
      </c>
      <c r="M67" s="41">
        <f>'Forecast Input'!N32</f>
        <v>0</v>
      </c>
      <c r="N67" s="41">
        <f>'Forecast Input'!O32</f>
        <v>0</v>
      </c>
      <c r="O67" s="42">
        <f>SUM(C67:N67)</f>
        <v>840.81223100000011</v>
      </c>
    </row>
    <row r="68" spans="1:15">
      <c r="A68" s="43"/>
      <c r="B68" s="33" t="s">
        <v>23</v>
      </c>
      <c r="C68" s="22"/>
      <c r="D68" s="22"/>
      <c r="E68" s="22"/>
      <c r="F68" s="22"/>
      <c r="G68" s="22"/>
      <c r="H68" s="22"/>
      <c r="I68" s="22"/>
      <c r="J68" s="22"/>
      <c r="K68" s="22"/>
      <c r="L68" s="22"/>
      <c r="M68" s="22"/>
      <c r="N68" s="22"/>
      <c r="O68" s="44">
        <f>SUM(C68:N68)</f>
        <v>0</v>
      </c>
    </row>
    <row r="69" spans="1:15">
      <c r="A69" s="45"/>
      <c r="B69" s="34" t="s">
        <v>160</v>
      </c>
      <c r="C69" s="17">
        <f>'Forecast Input'!D33</f>
        <v>1500</v>
      </c>
      <c r="D69" s="17">
        <f>'Forecast Input'!E33</f>
        <v>1500</v>
      </c>
      <c r="E69" s="17">
        <f>'Forecast Input'!F33</f>
        <v>1500</v>
      </c>
      <c r="F69" s="17">
        <f>'Forecast Input'!G33</f>
        <v>1500</v>
      </c>
      <c r="G69" s="17">
        <f>'Forecast Input'!H33</f>
        <v>1500</v>
      </c>
      <c r="H69" s="17">
        <f>'Forecast Input'!I33</f>
        <v>1500</v>
      </c>
      <c r="I69" s="17">
        <f>'Forecast Input'!J33</f>
        <v>1500</v>
      </c>
      <c r="J69" s="17">
        <f>'Forecast Input'!K33</f>
        <v>1500</v>
      </c>
      <c r="K69" s="17">
        <f>'Forecast Input'!L33</f>
        <v>1500</v>
      </c>
      <c r="L69" s="17">
        <f>'Forecast Input'!M33</f>
        <v>1500</v>
      </c>
      <c r="M69" s="17">
        <f>'Forecast Input'!N33</f>
        <v>1500</v>
      </c>
      <c r="N69" s="17">
        <f>'Forecast Input'!O33</f>
        <v>1500</v>
      </c>
      <c r="O69" s="46">
        <f>SUM(C69:N69)</f>
        <v>18000</v>
      </c>
    </row>
    <row r="70" spans="1:15">
      <c r="A70" s="47"/>
      <c r="B70" s="86" t="s">
        <v>196</v>
      </c>
      <c r="C70" s="153">
        <f>IF(C67=0,"-",C67-C69)</f>
        <v>-898.28068399999995</v>
      </c>
      <c r="D70" s="153">
        <f t="shared" ref="D70:N70" si="36">IF(D67=0,"-",D67-D69)</f>
        <v>-1275.9070850000001</v>
      </c>
      <c r="E70" s="153">
        <f t="shared" si="36"/>
        <v>-1485</v>
      </c>
      <c r="F70" s="153" t="str">
        <f t="shared" si="36"/>
        <v>-</v>
      </c>
      <c r="G70" s="153" t="str">
        <f t="shared" si="36"/>
        <v>-</v>
      </c>
      <c r="H70" s="153" t="str">
        <f t="shared" si="36"/>
        <v>-</v>
      </c>
      <c r="I70" s="153" t="str">
        <f t="shared" si="36"/>
        <v>-</v>
      </c>
      <c r="J70" s="153" t="str">
        <f t="shared" si="36"/>
        <v>-</v>
      </c>
      <c r="K70" s="153" t="str">
        <f t="shared" si="36"/>
        <v>-</v>
      </c>
      <c r="L70" s="153" t="str">
        <f t="shared" si="36"/>
        <v>-</v>
      </c>
      <c r="M70" s="153" t="str">
        <f t="shared" si="36"/>
        <v>-</v>
      </c>
      <c r="N70" s="153" t="str">
        <f t="shared" si="36"/>
        <v>-</v>
      </c>
      <c r="O70" s="48"/>
    </row>
    <row r="71" spans="1:15">
      <c r="A71" s="47"/>
      <c r="B71" s="86" t="s">
        <v>197</v>
      </c>
      <c r="C71" s="154">
        <f>IFERROR(C70/C67,"-")</f>
        <v>-1.4928566527852662</v>
      </c>
      <c r="D71" s="154">
        <f t="shared" ref="D71:N71" si="37">IFERROR(D70/D67,"-")</f>
        <v>-5.6936520505344852</v>
      </c>
      <c r="E71" s="154">
        <f t="shared" si="37"/>
        <v>-99</v>
      </c>
      <c r="F71" s="154" t="str">
        <f t="shared" si="37"/>
        <v>-</v>
      </c>
      <c r="G71" s="154" t="str">
        <f t="shared" si="37"/>
        <v>-</v>
      </c>
      <c r="H71" s="154" t="str">
        <f t="shared" si="37"/>
        <v>-</v>
      </c>
      <c r="I71" s="154" t="str">
        <f t="shared" si="37"/>
        <v>-</v>
      </c>
      <c r="J71" s="154" t="str">
        <f t="shared" si="37"/>
        <v>-</v>
      </c>
      <c r="K71" s="154" t="str">
        <f t="shared" si="37"/>
        <v>-</v>
      </c>
      <c r="L71" s="154" t="str">
        <f t="shared" si="37"/>
        <v>-</v>
      </c>
      <c r="M71" s="154" t="str">
        <f t="shared" si="37"/>
        <v>-</v>
      </c>
      <c r="N71" s="154" t="str">
        <f t="shared" si="37"/>
        <v>-</v>
      </c>
      <c r="O71" s="48"/>
    </row>
    <row r="72" spans="1:15">
      <c r="A72" s="47"/>
      <c r="B72" s="86" t="s">
        <v>198</v>
      </c>
      <c r="C72" s="153">
        <f t="shared" ref="C72:N72" si="38">IFERROR(C69-C68,"-")</f>
        <v>1500</v>
      </c>
      <c r="D72" s="153">
        <f t="shared" si="38"/>
        <v>1500</v>
      </c>
      <c r="E72" s="153">
        <f t="shared" si="38"/>
        <v>1500</v>
      </c>
      <c r="F72" s="153">
        <f t="shared" si="38"/>
        <v>1500</v>
      </c>
      <c r="G72" s="153">
        <f t="shared" si="38"/>
        <v>1500</v>
      </c>
      <c r="H72" s="153">
        <f t="shared" si="38"/>
        <v>1500</v>
      </c>
      <c r="I72" s="153">
        <f t="shared" si="38"/>
        <v>1500</v>
      </c>
      <c r="J72" s="153">
        <f t="shared" si="38"/>
        <v>1500</v>
      </c>
      <c r="K72" s="153">
        <f t="shared" si="38"/>
        <v>1500</v>
      </c>
      <c r="L72" s="153">
        <f t="shared" si="38"/>
        <v>1500</v>
      </c>
      <c r="M72" s="153">
        <f t="shared" si="38"/>
        <v>1500</v>
      </c>
      <c r="N72" s="153">
        <f t="shared" si="38"/>
        <v>1500</v>
      </c>
      <c r="O72" s="48"/>
    </row>
    <row r="73" spans="1:15" ht="15.95" thickBot="1">
      <c r="A73" s="49"/>
      <c r="B73" s="155" t="s">
        <v>199</v>
      </c>
      <c r="C73" s="154" t="str">
        <f>IFERROR(C72/C68,"-")</f>
        <v>-</v>
      </c>
      <c r="D73" s="154" t="str">
        <f t="shared" ref="D73:N73" si="39">IFERROR(D72/D68,"-")</f>
        <v>-</v>
      </c>
      <c r="E73" s="154" t="str">
        <f t="shared" si="39"/>
        <v>-</v>
      </c>
      <c r="F73" s="154" t="str">
        <f t="shared" si="39"/>
        <v>-</v>
      </c>
      <c r="G73" s="154" t="str">
        <f t="shared" si="39"/>
        <v>-</v>
      </c>
      <c r="H73" s="154" t="str">
        <f t="shared" si="39"/>
        <v>-</v>
      </c>
      <c r="I73" s="154" t="str">
        <f t="shared" si="39"/>
        <v>-</v>
      </c>
      <c r="J73" s="154" t="str">
        <f t="shared" si="39"/>
        <v>-</v>
      </c>
      <c r="K73" s="154" t="str">
        <f t="shared" si="39"/>
        <v>-</v>
      </c>
      <c r="L73" s="154" t="str">
        <f t="shared" si="39"/>
        <v>-</v>
      </c>
      <c r="M73" s="154" t="str">
        <f t="shared" si="39"/>
        <v>-</v>
      </c>
      <c r="N73" s="154" t="str">
        <f t="shared" si="39"/>
        <v>-</v>
      </c>
      <c r="O73" s="50"/>
    </row>
    <row r="74" spans="1:15">
      <c r="A74" s="39" t="s">
        <v>78</v>
      </c>
      <c r="B74" s="40" t="s">
        <v>194</v>
      </c>
      <c r="C74" s="41">
        <f>'Forecast Input'!D34</f>
        <v>111.69258499999999</v>
      </c>
      <c r="D74" s="41">
        <f>'Forecast Input'!E34</f>
        <v>260.21517899999998</v>
      </c>
      <c r="E74" s="41">
        <f>'Forecast Input'!F34</f>
        <v>-77</v>
      </c>
      <c r="F74" s="41">
        <f>'Forecast Input'!G34</f>
        <v>0</v>
      </c>
      <c r="G74" s="41">
        <f>'Forecast Input'!H34</f>
        <v>0</v>
      </c>
      <c r="H74" s="41">
        <f>'Forecast Input'!I34</f>
        <v>0</v>
      </c>
      <c r="I74" s="41">
        <f>'Forecast Input'!J34</f>
        <v>0</v>
      </c>
      <c r="J74" s="41">
        <f>'Forecast Input'!K34</f>
        <v>0</v>
      </c>
      <c r="K74" s="41">
        <f>'Forecast Input'!L34</f>
        <v>0</v>
      </c>
      <c r="L74" s="41">
        <f>'Forecast Input'!M34</f>
        <v>0</v>
      </c>
      <c r="M74" s="41">
        <f>'Forecast Input'!N34</f>
        <v>0</v>
      </c>
      <c r="N74" s="41">
        <f>'Forecast Input'!O34</f>
        <v>0</v>
      </c>
      <c r="O74" s="42">
        <f>SUM(C74:N74)</f>
        <v>294.90776399999999</v>
      </c>
    </row>
    <row r="75" spans="1:15">
      <c r="A75" s="43"/>
      <c r="B75" s="33" t="s">
        <v>23</v>
      </c>
      <c r="C75" s="22"/>
      <c r="D75" s="22"/>
      <c r="E75" s="22"/>
      <c r="F75" s="22"/>
      <c r="G75" s="22"/>
      <c r="H75" s="22"/>
      <c r="I75" s="22"/>
      <c r="J75" s="22"/>
      <c r="K75" s="22"/>
      <c r="L75" s="22"/>
      <c r="M75" s="22"/>
      <c r="N75" s="22"/>
      <c r="O75" s="44">
        <f>SUM(C75:N75)</f>
        <v>0</v>
      </c>
    </row>
    <row r="76" spans="1:15">
      <c r="A76" s="45"/>
      <c r="B76" s="34" t="s">
        <v>160</v>
      </c>
      <c r="C76" s="17">
        <f>'Forecast Input'!D35</f>
        <v>100</v>
      </c>
      <c r="D76" s="17">
        <f>'Forecast Input'!E35</f>
        <v>100</v>
      </c>
      <c r="E76" s="17">
        <f>'Forecast Input'!F35</f>
        <v>100</v>
      </c>
      <c r="F76" s="17">
        <f>'Forecast Input'!G35</f>
        <v>100</v>
      </c>
      <c r="G76" s="17">
        <f>'Forecast Input'!H35</f>
        <v>100</v>
      </c>
      <c r="H76" s="17">
        <f>'Forecast Input'!I35</f>
        <v>100</v>
      </c>
      <c r="I76" s="17">
        <f>'Forecast Input'!J35</f>
        <v>100</v>
      </c>
      <c r="J76" s="17">
        <f>'Forecast Input'!K35</f>
        <v>100</v>
      </c>
      <c r="K76" s="17">
        <f>'Forecast Input'!L35</f>
        <v>100</v>
      </c>
      <c r="L76" s="17">
        <f>'Forecast Input'!M35</f>
        <v>100</v>
      </c>
      <c r="M76" s="17">
        <f>'Forecast Input'!N35</f>
        <v>100</v>
      </c>
      <c r="N76" s="17">
        <f>'Forecast Input'!O35</f>
        <v>100</v>
      </c>
      <c r="O76" s="46">
        <f>SUM(C76:N76)</f>
        <v>1200</v>
      </c>
    </row>
    <row r="77" spans="1:15">
      <c r="A77" s="47"/>
      <c r="B77" s="86" t="s">
        <v>196</v>
      </c>
      <c r="C77" s="153">
        <f>IF(C74=0,"-",C74-C76)</f>
        <v>11.692584999999994</v>
      </c>
      <c r="D77" s="153">
        <f t="shared" ref="D77:N77" si="40">IF(D74=0,"-",D74-D76)</f>
        <v>160.21517899999998</v>
      </c>
      <c r="E77" s="153">
        <f t="shared" si="40"/>
        <v>-177</v>
      </c>
      <c r="F77" s="153" t="str">
        <f t="shared" si="40"/>
        <v>-</v>
      </c>
      <c r="G77" s="153" t="str">
        <f t="shared" si="40"/>
        <v>-</v>
      </c>
      <c r="H77" s="153" t="str">
        <f t="shared" si="40"/>
        <v>-</v>
      </c>
      <c r="I77" s="153" t="str">
        <f t="shared" si="40"/>
        <v>-</v>
      </c>
      <c r="J77" s="153" t="str">
        <f t="shared" si="40"/>
        <v>-</v>
      </c>
      <c r="K77" s="153" t="str">
        <f t="shared" si="40"/>
        <v>-</v>
      </c>
      <c r="L77" s="153" t="str">
        <f t="shared" si="40"/>
        <v>-</v>
      </c>
      <c r="M77" s="153" t="str">
        <f t="shared" si="40"/>
        <v>-</v>
      </c>
      <c r="N77" s="153" t="str">
        <f t="shared" si="40"/>
        <v>-</v>
      </c>
      <c r="O77" s="48"/>
    </row>
    <row r="78" spans="1:15">
      <c r="A78" s="47"/>
      <c r="B78" s="86" t="s">
        <v>197</v>
      </c>
      <c r="C78" s="154">
        <f>IFERROR(C77/C74,"-")</f>
        <v>0.10468541846354433</v>
      </c>
      <c r="D78" s="154">
        <f t="shared" ref="D78:N78" si="41">IFERROR(D77/D74,"-")</f>
        <v>0.61570266429384579</v>
      </c>
      <c r="E78" s="154">
        <f t="shared" si="41"/>
        <v>2.2987012987012987</v>
      </c>
      <c r="F78" s="154" t="str">
        <f t="shared" si="41"/>
        <v>-</v>
      </c>
      <c r="G78" s="154" t="str">
        <f t="shared" si="41"/>
        <v>-</v>
      </c>
      <c r="H78" s="154" t="str">
        <f t="shared" si="41"/>
        <v>-</v>
      </c>
      <c r="I78" s="154" t="str">
        <f t="shared" si="41"/>
        <v>-</v>
      </c>
      <c r="J78" s="154" t="str">
        <f t="shared" si="41"/>
        <v>-</v>
      </c>
      <c r="K78" s="154" t="str">
        <f t="shared" si="41"/>
        <v>-</v>
      </c>
      <c r="L78" s="154" t="str">
        <f t="shared" si="41"/>
        <v>-</v>
      </c>
      <c r="M78" s="154" t="str">
        <f t="shared" si="41"/>
        <v>-</v>
      </c>
      <c r="N78" s="154" t="str">
        <f t="shared" si="41"/>
        <v>-</v>
      </c>
      <c r="O78" s="48"/>
    </row>
    <row r="79" spans="1:15">
      <c r="A79" s="47"/>
      <c r="B79" s="86" t="s">
        <v>198</v>
      </c>
      <c r="C79" s="153">
        <f t="shared" ref="C79:N79" si="42">IFERROR(C76-C75,"-")</f>
        <v>100</v>
      </c>
      <c r="D79" s="153">
        <f t="shared" si="42"/>
        <v>100</v>
      </c>
      <c r="E79" s="153">
        <f t="shared" si="42"/>
        <v>100</v>
      </c>
      <c r="F79" s="153">
        <f t="shared" si="42"/>
        <v>100</v>
      </c>
      <c r="G79" s="153">
        <f t="shared" si="42"/>
        <v>100</v>
      </c>
      <c r="H79" s="153">
        <f t="shared" si="42"/>
        <v>100</v>
      </c>
      <c r="I79" s="153">
        <f t="shared" si="42"/>
        <v>100</v>
      </c>
      <c r="J79" s="153">
        <f t="shared" si="42"/>
        <v>100</v>
      </c>
      <c r="K79" s="153">
        <f t="shared" si="42"/>
        <v>100</v>
      </c>
      <c r="L79" s="153">
        <f t="shared" si="42"/>
        <v>100</v>
      </c>
      <c r="M79" s="153">
        <f t="shared" si="42"/>
        <v>100</v>
      </c>
      <c r="N79" s="153">
        <f t="shared" si="42"/>
        <v>100</v>
      </c>
      <c r="O79" s="48"/>
    </row>
    <row r="80" spans="1:15">
      <c r="A80" s="49"/>
      <c r="B80" s="155" t="s">
        <v>199</v>
      </c>
      <c r="C80" s="154" t="str">
        <f>IFERROR(C79/C75,"-")</f>
        <v>-</v>
      </c>
      <c r="D80" s="154" t="str">
        <f t="shared" ref="D80:N80" si="43">IFERROR(D79/D75,"-")</f>
        <v>-</v>
      </c>
      <c r="E80" s="154" t="str">
        <f t="shared" si="43"/>
        <v>-</v>
      </c>
      <c r="F80" s="154" t="str">
        <f t="shared" si="43"/>
        <v>-</v>
      </c>
      <c r="G80" s="154" t="str">
        <f t="shared" si="43"/>
        <v>-</v>
      </c>
      <c r="H80" s="154" t="str">
        <f t="shared" si="43"/>
        <v>-</v>
      </c>
      <c r="I80" s="154" t="str">
        <f t="shared" si="43"/>
        <v>-</v>
      </c>
      <c r="J80" s="154" t="str">
        <f t="shared" si="43"/>
        <v>-</v>
      </c>
      <c r="K80" s="154" t="str">
        <f t="shared" si="43"/>
        <v>-</v>
      </c>
      <c r="L80" s="154" t="str">
        <f t="shared" si="43"/>
        <v>-</v>
      </c>
      <c r="M80" s="154" t="str">
        <f t="shared" si="43"/>
        <v>-</v>
      </c>
      <c r="N80" s="154" t="str">
        <f t="shared" si="43"/>
        <v>-</v>
      </c>
      <c r="O80" s="50"/>
    </row>
    <row r="81" spans="1:15">
      <c r="A81" s="39" t="s">
        <v>80</v>
      </c>
      <c r="B81" s="40" t="s">
        <v>194</v>
      </c>
      <c r="C81" s="41">
        <f>'Forecast Input'!D36</f>
        <v>167.97545299999999</v>
      </c>
      <c r="D81" s="41">
        <f>'Forecast Input'!E36</f>
        <v>546</v>
      </c>
      <c r="E81" s="41">
        <f>'Forecast Input'!F36</f>
        <v>651</v>
      </c>
      <c r="F81" s="41">
        <f>'Forecast Input'!G36</f>
        <v>0</v>
      </c>
      <c r="G81" s="41">
        <f>'Forecast Input'!H36</f>
        <v>0</v>
      </c>
      <c r="H81" s="41">
        <f>'Forecast Input'!I36</f>
        <v>0</v>
      </c>
      <c r="I81" s="41">
        <f>'Forecast Input'!J36</f>
        <v>0</v>
      </c>
      <c r="J81" s="41">
        <f>'Forecast Input'!K36</f>
        <v>0</v>
      </c>
      <c r="K81" s="41">
        <f>'Forecast Input'!L36</f>
        <v>0</v>
      </c>
      <c r="L81" s="41">
        <f>'Forecast Input'!M36</f>
        <v>0</v>
      </c>
      <c r="M81" s="41">
        <f>'Forecast Input'!N36</f>
        <v>0</v>
      </c>
      <c r="N81" s="41">
        <f>'Forecast Input'!O36</f>
        <v>0</v>
      </c>
      <c r="O81" s="42">
        <f>SUM(C81:N81)</f>
        <v>1364.975453</v>
      </c>
    </row>
    <row r="82" spans="1:15">
      <c r="A82" s="43"/>
      <c r="B82" s="33" t="s">
        <v>23</v>
      </c>
      <c r="C82" s="22"/>
      <c r="D82" s="22"/>
      <c r="E82" s="22"/>
      <c r="F82" s="22"/>
      <c r="G82" s="22"/>
      <c r="H82" s="22"/>
      <c r="I82" s="22">
        <v>2105</v>
      </c>
      <c r="J82" s="22">
        <v>1380</v>
      </c>
      <c r="K82" s="22">
        <v>740</v>
      </c>
      <c r="L82" s="22">
        <v>252</v>
      </c>
      <c r="M82" s="22">
        <v>336</v>
      </c>
      <c r="N82" s="22">
        <v>768</v>
      </c>
      <c r="O82" s="44">
        <f>SUM(C82:N82)</f>
        <v>5581</v>
      </c>
    </row>
    <row r="83" spans="1:15">
      <c r="A83" s="45"/>
      <c r="B83" s="34" t="s">
        <v>160</v>
      </c>
      <c r="C83" s="17">
        <f>'Forecast Input'!D37</f>
        <v>100</v>
      </c>
      <c r="D83" s="17">
        <f>'Forecast Input'!E37</f>
        <v>100</v>
      </c>
      <c r="E83" s="17">
        <f>'Forecast Input'!F37</f>
        <v>100</v>
      </c>
      <c r="F83" s="17">
        <f>'Forecast Input'!G37</f>
        <v>100</v>
      </c>
      <c r="G83" s="17">
        <f>'Forecast Input'!H37</f>
        <v>100</v>
      </c>
      <c r="H83" s="17">
        <f>'Forecast Input'!I37</f>
        <v>100</v>
      </c>
      <c r="I83" s="17">
        <f>'Forecast Input'!J37</f>
        <v>100</v>
      </c>
      <c r="J83" s="17">
        <f>'Forecast Input'!K37</f>
        <v>100</v>
      </c>
      <c r="K83" s="17">
        <f>'Forecast Input'!L37</f>
        <v>100</v>
      </c>
      <c r="L83" s="17">
        <f>'Forecast Input'!M37</f>
        <v>100</v>
      </c>
      <c r="M83" s="17">
        <f>'Forecast Input'!N37</f>
        <v>100</v>
      </c>
      <c r="N83" s="17">
        <f>'Forecast Input'!O37</f>
        <v>100</v>
      </c>
      <c r="O83" s="46">
        <f>SUM(C83:N83)</f>
        <v>1200</v>
      </c>
    </row>
    <row r="84" spans="1:15">
      <c r="A84" s="47"/>
      <c r="B84" s="86" t="s">
        <v>196</v>
      </c>
      <c r="C84" s="153">
        <f>IF(C81=0,"-",C81-C83)</f>
        <v>67.975452999999987</v>
      </c>
      <c r="D84" s="153">
        <f t="shared" ref="D84:N84" si="44">IF(D81=0,"-",D81-D83)</f>
        <v>446</v>
      </c>
      <c r="E84" s="153">
        <f t="shared" si="44"/>
        <v>551</v>
      </c>
      <c r="F84" s="153" t="str">
        <f t="shared" si="44"/>
        <v>-</v>
      </c>
      <c r="G84" s="153" t="str">
        <f t="shared" si="44"/>
        <v>-</v>
      </c>
      <c r="H84" s="153" t="str">
        <f t="shared" si="44"/>
        <v>-</v>
      </c>
      <c r="I84" s="153" t="str">
        <f t="shared" si="44"/>
        <v>-</v>
      </c>
      <c r="J84" s="153" t="str">
        <f t="shared" si="44"/>
        <v>-</v>
      </c>
      <c r="K84" s="153" t="str">
        <f t="shared" si="44"/>
        <v>-</v>
      </c>
      <c r="L84" s="153" t="str">
        <f t="shared" si="44"/>
        <v>-</v>
      </c>
      <c r="M84" s="153" t="str">
        <f t="shared" si="44"/>
        <v>-</v>
      </c>
      <c r="N84" s="153" t="str">
        <f t="shared" si="44"/>
        <v>-</v>
      </c>
      <c r="O84" s="48"/>
    </row>
    <row r="85" spans="1:15">
      <c r="A85" s="47"/>
      <c r="B85" s="86" t="s">
        <v>197</v>
      </c>
      <c r="C85" s="154">
        <f>IFERROR(C84/C81,"-")</f>
        <v>0.40467491997178895</v>
      </c>
      <c r="D85" s="154">
        <f t="shared" ref="D85:N85" si="45">IFERROR(D84/D81,"-")</f>
        <v>0.81684981684981683</v>
      </c>
      <c r="E85" s="154">
        <f t="shared" si="45"/>
        <v>0.84639016897081409</v>
      </c>
      <c r="F85" s="154" t="str">
        <f t="shared" si="45"/>
        <v>-</v>
      </c>
      <c r="G85" s="154" t="str">
        <f t="shared" si="45"/>
        <v>-</v>
      </c>
      <c r="H85" s="154" t="str">
        <f t="shared" si="45"/>
        <v>-</v>
      </c>
      <c r="I85" s="154" t="str">
        <f t="shared" si="45"/>
        <v>-</v>
      </c>
      <c r="J85" s="154" t="str">
        <f t="shared" si="45"/>
        <v>-</v>
      </c>
      <c r="K85" s="154" t="str">
        <f t="shared" si="45"/>
        <v>-</v>
      </c>
      <c r="L85" s="154" t="str">
        <f t="shared" si="45"/>
        <v>-</v>
      </c>
      <c r="M85" s="154" t="str">
        <f t="shared" si="45"/>
        <v>-</v>
      </c>
      <c r="N85" s="154" t="str">
        <f t="shared" si="45"/>
        <v>-</v>
      </c>
      <c r="O85" s="48"/>
    </row>
    <row r="86" spans="1:15">
      <c r="A86" s="47"/>
      <c r="B86" s="86" t="s">
        <v>198</v>
      </c>
      <c r="C86" s="153">
        <f t="shared" ref="C86:N86" si="46">IFERROR(C83-C82,"-")</f>
        <v>100</v>
      </c>
      <c r="D86" s="153">
        <f t="shared" si="46"/>
        <v>100</v>
      </c>
      <c r="E86" s="153">
        <f t="shared" si="46"/>
        <v>100</v>
      </c>
      <c r="F86" s="153">
        <f t="shared" si="46"/>
        <v>100</v>
      </c>
      <c r="G86" s="153">
        <f t="shared" si="46"/>
        <v>100</v>
      </c>
      <c r="H86" s="153">
        <f t="shared" si="46"/>
        <v>100</v>
      </c>
      <c r="I86" s="153">
        <f t="shared" si="46"/>
        <v>-2005</v>
      </c>
      <c r="J86" s="153">
        <f t="shared" si="46"/>
        <v>-1280</v>
      </c>
      <c r="K86" s="153">
        <f t="shared" si="46"/>
        <v>-640</v>
      </c>
      <c r="L86" s="153">
        <f t="shared" si="46"/>
        <v>-152</v>
      </c>
      <c r="M86" s="153">
        <f t="shared" si="46"/>
        <v>-236</v>
      </c>
      <c r="N86" s="153">
        <f t="shared" si="46"/>
        <v>-668</v>
      </c>
      <c r="O86" s="48"/>
    </row>
    <row r="87" spans="1:15">
      <c r="A87" s="49"/>
      <c r="B87" s="155" t="s">
        <v>199</v>
      </c>
      <c r="C87" s="154" t="str">
        <f>IFERROR(C86/C82,"-")</f>
        <v>-</v>
      </c>
      <c r="D87" s="154" t="str">
        <f t="shared" ref="D87:N87" si="47">IFERROR(D86/D82,"-")</f>
        <v>-</v>
      </c>
      <c r="E87" s="154" t="str">
        <f t="shared" si="47"/>
        <v>-</v>
      </c>
      <c r="F87" s="154" t="str">
        <f t="shared" si="47"/>
        <v>-</v>
      </c>
      <c r="G87" s="154" t="str">
        <f t="shared" si="47"/>
        <v>-</v>
      </c>
      <c r="H87" s="154" t="str">
        <f t="shared" si="47"/>
        <v>-</v>
      </c>
      <c r="I87" s="154">
        <f t="shared" si="47"/>
        <v>-0.95249406175771967</v>
      </c>
      <c r="J87" s="154">
        <f t="shared" si="47"/>
        <v>-0.92753623188405798</v>
      </c>
      <c r="K87" s="154">
        <f t="shared" si="47"/>
        <v>-0.86486486486486491</v>
      </c>
      <c r="L87" s="154">
        <f t="shared" si="47"/>
        <v>-0.60317460317460314</v>
      </c>
      <c r="M87" s="154">
        <f t="shared" si="47"/>
        <v>-0.70238095238095233</v>
      </c>
      <c r="N87" s="154">
        <f t="shared" si="47"/>
        <v>-0.86979166666666663</v>
      </c>
      <c r="O87" s="50"/>
    </row>
    <row r="88" spans="1:15">
      <c r="A88" s="39" t="s">
        <v>81</v>
      </c>
      <c r="B88" s="40" t="s">
        <v>194</v>
      </c>
      <c r="C88" s="41">
        <f>'Forecast Input'!D38</f>
        <v>0</v>
      </c>
      <c r="D88" s="41">
        <f>'Forecast Input'!E38</f>
        <v>5.7975459999999996</v>
      </c>
      <c r="E88" s="41">
        <f>'Forecast Input'!F38</f>
        <v>289</v>
      </c>
      <c r="F88" s="41">
        <f>'Forecast Input'!G38</f>
        <v>0</v>
      </c>
      <c r="G88" s="41">
        <f>'Forecast Input'!H38</f>
        <v>0</v>
      </c>
      <c r="H88" s="41">
        <f>'Forecast Input'!I38</f>
        <v>0</v>
      </c>
      <c r="I88" s="41">
        <f>'Forecast Input'!J38</f>
        <v>0</v>
      </c>
      <c r="J88" s="41">
        <f>'Forecast Input'!K38</f>
        <v>0</v>
      </c>
      <c r="K88" s="41">
        <f>'Forecast Input'!L38</f>
        <v>0</v>
      </c>
      <c r="L88" s="41">
        <f>'Forecast Input'!M38</f>
        <v>0</v>
      </c>
      <c r="M88" s="41">
        <f>'Forecast Input'!N38</f>
        <v>0</v>
      </c>
      <c r="N88" s="41">
        <f>'Forecast Input'!O38</f>
        <v>0</v>
      </c>
      <c r="O88" s="42">
        <f>SUM(C88:N88)</f>
        <v>294.79754600000001</v>
      </c>
    </row>
    <row r="89" spans="1:15">
      <c r="A89" s="43"/>
      <c r="B89" s="33" t="s">
        <v>23</v>
      </c>
      <c r="C89" s="22"/>
      <c r="D89" s="22"/>
      <c r="E89" s="22"/>
      <c r="F89" s="22"/>
      <c r="G89" s="22"/>
      <c r="H89" s="22"/>
      <c r="I89" s="22"/>
      <c r="J89" s="22"/>
      <c r="K89" s="22"/>
      <c r="L89" s="22"/>
      <c r="M89" s="22"/>
      <c r="N89" s="22"/>
      <c r="O89" s="44">
        <f>SUM(C89:N89)</f>
        <v>0</v>
      </c>
    </row>
    <row r="90" spans="1:15">
      <c r="A90" s="45"/>
      <c r="B90" s="34" t="s">
        <v>160</v>
      </c>
      <c r="C90" s="17">
        <f>'Forecast Input'!D39</f>
        <v>100</v>
      </c>
      <c r="D90" s="17">
        <f>'Forecast Input'!E39</f>
        <v>100</v>
      </c>
      <c r="E90" s="17">
        <f>'Forecast Input'!F39</f>
        <v>100</v>
      </c>
      <c r="F90" s="17">
        <f>'Forecast Input'!G39</f>
        <v>500</v>
      </c>
      <c r="G90" s="17">
        <f>'Forecast Input'!H39</f>
        <v>500</v>
      </c>
      <c r="H90" s="17">
        <f>'Forecast Input'!I39</f>
        <v>500</v>
      </c>
      <c r="I90" s="17">
        <f>'Forecast Input'!J39</f>
        <v>1000</v>
      </c>
      <c r="J90" s="17">
        <f>'Forecast Input'!K39</f>
        <v>1000</v>
      </c>
      <c r="K90" s="17">
        <f>'Forecast Input'!L39</f>
        <v>1000</v>
      </c>
      <c r="L90" s="17">
        <f>'Forecast Input'!M39</f>
        <v>1000</v>
      </c>
      <c r="M90" s="17">
        <f>'Forecast Input'!N39</f>
        <v>1000</v>
      </c>
      <c r="N90" s="17">
        <f>'Forecast Input'!O39</f>
        <v>1000</v>
      </c>
      <c r="O90" s="46">
        <f>SUM(C90:N90)</f>
        <v>7800</v>
      </c>
    </row>
    <row r="91" spans="1:15">
      <c r="A91" s="47"/>
      <c r="B91" s="86" t="s">
        <v>196</v>
      </c>
      <c r="C91" s="153" t="str">
        <f>IF(C88=0,"-",C88-C90)</f>
        <v>-</v>
      </c>
      <c r="D91" s="153">
        <f t="shared" ref="D91:N91" si="48">IF(D88=0,"-",D88-D90)</f>
        <v>-94.202454000000003</v>
      </c>
      <c r="E91" s="153">
        <f t="shared" si="48"/>
        <v>189</v>
      </c>
      <c r="F91" s="153" t="str">
        <f t="shared" si="48"/>
        <v>-</v>
      </c>
      <c r="G91" s="153" t="str">
        <f t="shared" si="48"/>
        <v>-</v>
      </c>
      <c r="H91" s="153" t="str">
        <f t="shared" si="48"/>
        <v>-</v>
      </c>
      <c r="I91" s="153" t="str">
        <f t="shared" si="48"/>
        <v>-</v>
      </c>
      <c r="J91" s="153" t="str">
        <f t="shared" si="48"/>
        <v>-</v>
      </c>
      <c r="K91" s="153" t="str">
        <f t="shared" si="48"/>
        <v>-</v>
      </c>
      <c r="L91" s="153" t="str">
        <f t="shared" si="48"/>
        <v>-</v>
      </c>
      <c r="M91" s="153" t="str">
        <f t="shared" si="48"/>
        <v>-</v>
      </c>
      <c r="N91" s="153" t="str">
        <f t="shared" si="48"/>
        <v>-</v>
      </c>
      <c r="O91" s="48"/>
    </row>
    <row r="92" spans="1:15">
      <c r="A92" s="47"/>
      <c r="B92" s="86" t="s">
        <v>197</v>
      </c>
      <c r="C92" s="154" t="str">
        <f>IFERROR(C91/C88,"-")</f>
        <v>-</v>
      </c>
      <c r="D92" s="154">
        <f t="shared" ref="D92:N92" si="49">IFERROR(D91/D88,"-")</f>
        <v>-16.248677285182389</v>
      </c>
      <c r="E92" s="154">
        <f t="shared" si="49"/>
        <v>0.65397923875432529</v>
      </c>
      <c r="F92" s="154" t="str">
        <f t="shared" si="49"/>
        <v>-</v>
      </c>
      <c r="G92" s="154" t="str">
        <f t="shared" si="49"/>
        <v>-</v>
      </c>
      <c r="H92" s="154" t="str">
        <f t="shared" si="49"/>
        <v>-</v>
      </c>
      <c r="I92" s="154" t="str">
        <f t="shared" si="49"/>
        <v>-</v>
      </c>
      <c r="J92" s="154" t="str">
        <f t="shared" si="49"/>
        <v>-</v>
      </c>
      <c r="K92" s="154" t="str">
        <f t="shared" si="49"/>
        <v>-</v>
      </c>
      <c r="L92" s="154" t="str">
        <f t="shared" si="49"/>
        <v>-</v>
      </c>
      <c r="M92" s="154" t="str">
        <f t="shared" si="49"/>
        <v>-</v>
      </c>
      <c r="N92" s="154" t="str">
        <f t="shared" si="49"/>
        <v>-</v>
      </c>
      <c r="O92" s="48"/>
    </row>
    <row r="93" spans="1:15">
      <c r="A93" s="47"/>
      <c r="B93" s="86" t="s">
        <v>198</v>
      </c>
      <c r="C93" s="153">
        <f t="shared" ref="C93:N93" si="50">IFERROR(C90-C89,"-")</f>
        <v>100</v>
      </c>
      <c r="D93" s="153">
        <f t="shared" si="50"/>
        <v>100</v>
      </c>
      <c r="E93" s="153">
        <f t="shared" si="50"/>
        <v>100</v>
      </c>
      <c r="F93" s="153">
        <f t="shared" si="50"/>
        <v>500</v>
      </c>
      <c r="G93" s="153">
        <f t="shared" si="50"/>
        <v>500</v>
      </c>
      <c r="H93" s="153">
        <f t="shared" si="50"/>
        <v>500</v>
      </c>
      <c r="I93" s="153">
        <f t="shared" si="50"/>
        <v>1000</v>
      </c>
      <c r="J93" s="153">
        <f t="shared" si="50"/>
        <v>1000</v>
      </c>
      <c r="K93" s="153">
        <f t="shared" si="50"/>
        <v>1000</v>
      </c>
      <c r="L93" s="153">
        <f t="shared" si="50"/>
        <v>1000</v>
      </c>
      <c r="M93" s="153">
        <f t="shared" si="50"/>
        <v>1000</v>
      </c>
      <c r="N93" s="153">
        <f t="shared" si="50"/>
        <v>1000</v>
      </c>
      <c r="O93" s="48"/>
    </row>
    <row r="94" spans="1:15">
      <c r="A94" s="49"/>
      <c r="B94" s="155" t="s">
        <v>199</v>
      </c>
      <c r="C94" s="154" t="str">
        <f>IFERROR(C93/C89,"-")</f>
        <v>-</v>
      </c>
      <c r="D94" s="154" t="str">
        <f t="shared" ref="D94:N94" si="51">IFERROR(D93/D89,"-")</f>
        <v>-</v>
      </c>
      <c r="E94" s="154" t="str">
        <f t="shared" si="51"/>
        <v>-</v>
      </c>
      <c r="F94" s="154" t="str">
        <f t="shared" si="51"/>
        <v>-</v>
      </c>
      <c r="G94" s="154" t="str">
        <f t="shared" si="51"/>
        <v>-</v>
      </c>
      <c r="H94" s="154" t="str">
        <f t="shared" si="51"/>
        <v>-</v>
      </c>
      <c r="I94" s="154" t="str">
        <f t="shared" si="51"/>
        <v>-</v>
      </c>
      <c r="J94" s="154" t="str">
        <f t="shared" si="51"/>
        <v>-</v>
      </c>
      <c r="K94" s="154" t="str">
        <f t="shared" si="51"/>
        <v>-</v>
      </c>
      <c r="L94" s="154" t="str">
        <f t="shared" si="51"/>
        <v>-</v>
      </c>
      <c r="M94" s="154" t="str">
        <f t="shared" si="51"/>
        <v>-</v>
      </c>
      <c r="N94" s="154" t="str">
        <f t="shared" si="51"/>
        <v>-</v>
      </c>
      <c r="O94" s="50"/>
    </row>
    <row r="95" spans="1:15">
      <c r="A95" s="39" t="s">
        <v>82</v>
      </c>
      <c r="B95" s="40" t="s">
        <v>194</v>
      </c>
      <c r="C95" s="41">
        <f>'Forecast Input'!D40</f>
        <v>-13263.988921</v>
      </c>
      <c r="D95" s="41">
        <f>'Forecast Input'!E40</f>
        <v>17347.597707000001</v>
      </c>
      <c r="E95" s="41">
        <f>'Forecast Input'!F40</f>
        <v>14186</v>
      </c>
      <c r="F95" s="41">
        <f>'Forecast Input'!G40</f>
        <v>0</v>
      </c>
      <c r="G95" s="41">
        <f>'Forecast Input'!H40</f>
        <v>0</v>
      </c>
      <c r="H95" s="41">
        <f>'Forecast Input'!I40</f>
        <v>0</v>
      </c>
      <c r="I95" s="41">
        <f>'Forecast Input'!J40</f>
        <v>0</v>
      </c>
      <c r="J95" s="41">
        <f>'Forecast Input'!K40</f>
        <v>0</v>
      </c>
      <c r="K95" s="41">
        <f>'Forecast Input'!L40</f>
        <v>0</v>
      </c>
      <c r="L95" s="41">
        <f>'Forecast Input'!M40</f>
        <v>0</v>
      </c>
      <c r="M95" s="41">
        <f>'Forecast Input'!N40</f>
        <v>0</v>
      </c>
      <c r="N95" s="41">
        <f>'Forecast Input'!O40</f>
        <v>0</v>
      </c>
      <c r="O95" s="42">
        <f>SUM(C95:N95)</f>
        <v>18269.608786000001</v>
      </c>
    </row>
    <row r="96" spans="1:15">
      <c r="A96" s="43"/>
      <c r="B96" s="33" t="s">
        <v>23</v>
      </c>
      <c r="C96" s="22">
        <v>12385</v>
      </c>
      <c r="D96" s="22">
        <v>12236</v>
      </c>
      <c r="E96" s="22">
        <v>15559</v>
      </c>
      <c r="F96" s="22">
        <v>27495</v>
      </c>
      <c r="G96" s="22">
        <v>14343</v>
      </c>
      <c r="H96" s="22">
        <v>9118</v>
      </c>
      <c r="I96" s="22">
        <v>21964</v>
      </c>
      <c r="J96" s="22">
        <v>14702</v>
      </c>
      <c r="K96" s="22">
        <v>14774</v>
      </c>
      <c r="L96" s="22">
        <v>17638</v>
      </c>
      <c r="M96" s="22">
        <v>9330</v>
      </c>
      <c r="N96" s="22">
        <v>17106</v>
      </c>
      <c r="O96" s="44">
        <f>SUM(C96:N96)</f>
        <v>186650</v>
      </c>
    </row>
    <row r="97" spans="1:15">
      <c r="A97" s="45"/>
      <c r="B97" s="34" t="s">
        <v>160</v>
      </c>
      <c r="C97" s="17">
        <f>'Forecast Input'!D41</f>
        <v>12500</v>
      </c>
      <c r="D97" s="17">
        <f>'Forecast Input'!E41</f>
        <v>12500</v>
      </c>
      <c r="E97" s="17">
        <f>'Forecast Input'!F41</f>
        <v>18500</v>
      </c>
      <c r="F97" s="17">
        <f>'Forecast Input'!G41</f>
        <v>12500</v>
      </c>
      <c r="G97" s="17">
        <f>'Forecast Input'!H41</f>
        <v>12500</v>
      </c>
      <c r="H97" s="17">
        <f>'Forecast Input'!I41</f>
        <v>12500</v>
      </c>
      <c r="I97" s="17">
        <f>'Forecast Input'!J41</f>
        <v>12500</v>
      </c>
      <c r="J97" s="17">
        <f>'Forecast Input'!K41</f>
        <v>12500</v>
      </c>
      <c r="K97" s="17">
        <f>'Forecast Input'!L41</f>
        <v>12500</v>
      </c>
      <c r="L97" s="17">
        <f>'Forecast Input'!M41</f>
        <v>12500</v>
      </c>
      <c r="M97" s="17">
        <f>'Forecast Input'!N41</f>
        <v>12500</v>
      </c>
      <c r="N97" s="17">
        <f>'Forecast Input'!O41</f>
        <v>12500</v>
      </c>
      <c r="O97" s="46">
        <f>SUM(C97:N97)</f>
        <v>156000</v>
      </c>
    </row>
    <row r="98" spans="1:15">
      <c r="A98" s="47"/>
      <c r="B98" s="86" t="s">
        <v>196</v>
      </c>
      <c r="C98" s="153">
        <f>IF(C95=0,"-",C95-C97)</f>
        <v>-25763.988921</v>
      </c>
      <c r="D98" s="153">
        <f t="shared" ref="D98:N98" si="52">IF(D95=0,"-",D95-D97)</f>
        <v>4847.5977070000008</v>
      </c>
      <c r="E98" s="153">
        <f t="shared" si="52"/>
        <v>-4314</v>
      </c>
      <c r="F98" s="153" t="str">
        <f t="shared" si="52"/>
        <v>-</v>
      </c>
      <c r="G98" s="153" t="str">
        <f t="shared" si="52"/>
        <v>-</v>
      </c>
      <c r="H98" s="153" t="str">
        <f t="shared" si="52"/>
        <v>-</v>
      </c>
      <c r="I98" s="153" t="str">
        <f t="shared" si="52"/>
        <v>-</v>
      </c>
      <c r="J98" s="153" t="str">
        <f t="shared" si="52"/>
        <v>-</v>
      </c>
      <c r="K98" s="153" t="str">
        <f t="shared" si="52"/>
        <v>-</v>
      </c>
      <c r="L98" s="153" t="str">
        <f t="shared" si="52"/>
        <v>-</v>
      </c>
      <c r="M98" s="153" t="str">
        <f t="shared" si="52"/>
        <v>-</v>
      </c>
      <c r="N98" s="153" t="str">
        <f t="shared" si="52"/>
        <v>-</v>
      </c>
      <c r="O98" s="48"/>
    </row>
    <row r="99" spans="1:15">
      <c r="A99" s="47"/>
      <c r="B99" s="86" t="s">
        <v>197</v>
      </c>
      <c r="C99" s="154">
        <f>IFERROR(C98/C95,"-")</f>
        <v>1.9424012696670436</v>
      </c>
      <c r="D99" s="154">
        <f t="shared" ref="D99:N99" si="53">IFERROR(D98/D95,"-")</f>
        <v>0.27943913554347222</v>
      </c>
      <c r="E99" s="154">
        <f t="shared" si="53"/>
        <v>-0.30410263640208657</v>
      </c>
      <c r="F99" s="154" t="str">
        <f t="shared" si="53"/>
        <v>-</v>
      </c>
      <c r="G99" s="154" t="str">
        <f t="shared" si="53"/>
        <v>-</v>
      </c>
      <c r="H99" s="154" t="str">
        <f t="shared" si="53"/>
        <v>-</v>
      </c>
      <c r="I99" s="154" t="str">
        <f t="shared" si="53"/>
        <v>-</v>
      </c>
      <c r="J99" s="154" t="str">
        <f t="shared" si="53"/>
        <v>-</v>
      </c>
      <c r="K99" s="154" t="str">
        <f t="shared" si="53"/>
        <v>-</v>
      </c>
      <c r="L99" s="154" t="str">
        <f t="shared" si="53"/>
        <v>-</v>
      </c>
      <c r="M99" s="154" t="str">
        <f t="shared" si="53"/>
        <v>-</v>
      </c>
      <c r="N99" s="154" t="str">
        <f t="shared" si="53"/>
        <v>-</v>
      </c>
      <c r="O99" s="48"/>
    </row>
    <row r="100" spans="1:15">
      <c r="A100" s="47"/>
      <c r="B100" s="86" t="s">
        <v>198</v>
      </c>
      <c r="C100" s="153">
        <f t="shared" ref="C100:N100" si="54">IFERROR(C97-C96,"-")</f>
        <v>115</v>
      </c>
      <c r="D100" s="153">
        <f t="shared" si="54"/>
        <v>264</v>
      </c>
      <c r="E100" s="153">
        <f t="shared" si="54"/>
        <v>2941</v>
      </c>
      <c r="F100" s="153">
        <f t="shared" si="54"/>
        <v>-14995</v>
      </c>
      <c r="G100" s="153">
        <f t="shared" si="54"/>
        <v>-1843</v>
      </c>
      <c r="H100" s="153">
        <f t="shared" si="54"/>
        <v>3382</v>
      </c>
      <c r="I100" s="153">
        <f t="shared" si="54"/>
        <v>-9464</v>
      </c>
      <c r="J100" s="153">
        <f t="shared" si="54"/>
        <v>-2202</v>
      </c>
      <c r="K100" s="153">
        <f t="shared" si="54"/>
        <v>-2274</v>
      </c>
      <c r="L100" s="153">
        <f t="shared" si="54"/>
        <v>-5138</v>
      </c>
      <c r="M100" s="153">
        <f t="shared" si="54"/>
        <v>3170</v>
      </c>
      <c r="N100" s="153">
        <f t="shared" si="54"/>
        <v>-4606</v>
      </c>
      <c r="O100" s="48"/>
    </row>
    <row r="101" spans="1:15">
      <c r="A101" s="49"/>
      <c r="B101" s="155" t="s">
        <v>199</v>
      </c>
      <c r="C101" s="154">
        <f>IFERROR(C100/C96,"-")</f>
        <v>9.2854259184497381E-3</v>
      </c>
      <c r="D101" s="154">
        <f t="shared" ref="D101:N101" si="55">IFERROR(D100/D96,"-")</f>
        <v>2.157567832625041E-2</v>
      </c>
      <c r="E101" s="154">
        <f t="shared" si="55"/>
        <v>0.18902243074747735</v>
      </c>
      <c r="F101" s="154">
        <f t="shared" si="55"/>
        <v>-0.54537188579741769</v>
      </c>
      <c r="G101" s="154">
        <f t="shared" si="55"/>
        <v>-0.12849473610820608</v>
      </c>
      <c r="H101" s="154">
        <f t="shared" si="55"/>
        <v>0.37091467427067337</v>
      </c>
      <c r="I101" s="154">
        <f t="shared" si="55"/>
        <v>-0.4308869058459297</v>
      </c>
      <c r="J101" s="154">
        <f t="shared" si="55"/>
        <v>-0.14977554074275609</v>
      </c>
      <c r="K101" s="154">
        <f t="shared" si="55"/>
        <v>-0.15391904697441453</v>
      </c>
      <c r="L101" s="154">
        <f t="shared" si="55"/>
        <v>-0.29130286880598705</v>
      </c>
      <c r="M101" s="154">
        <f t="shared" si="55"/>
        <v>0.33976420150053588</v>
      </c>
      <c r="N101" s="154">
        <f t="shared" si="55"/>
        <v>-0.26926224716473751</v>
      </c>
      <c r="O101" s="50"/>
    </row>
    <row r="102" spans="1:15">
      <c r="A102" s="157" t="s">
        <v>264</v>
      </c>
      <c r="B102" s="158" t="s">
        <v>194</v>
      </c>
      <c r="C102" s="159">
        <f>'Forecast Input'!D42</f>
        <v>0</v>
      </c>
      <c r="D102" s="159">
        <f>'Forecast Input'!E42</f>
        <v>1498</v>
      </c>
      <c r="E102" s="159">
        <f>'Forecast Input'!F42</f>
        <v>5273</v>
      </c>
      <c r="F102" s="159">
        <f>'Forecast Input'!G42</f>
        <v>0</v>
      </c>
      <c r="G102" s="159">
        <f>'Forecast Input'!H42</f>
        <v>0</v>
      </c>
      <c r="H102" s="159">
        <f>'Forecast Input'!I42</f>
        <v>0</v>
      </c>
      <c r="I102" s="159">
        <f>'Forecast Input'!J42</f>
        <v>0</v>
      </c>
      <c r="J102" s="159">
        <f>'Forecast Input'!K42</f>
        <v>0</v>
      </c>
      <c r="K102" s="159">
        <f>'Forecast Input'!L42</f>
        <v>0</v>
      </c>
      <c r="L102" s="159">
        <f>'Forecast Input'!M42</f>
        <v>0</v>
      </c>
      <c r="M102" s="159">
        <f>'Forecast Input'!N42</f>
        <v>0</v>
      </c>
      <c r="N102" s="159">
        <f>'Forecast Input'!O42</f>
        <v>0</v>
      </c>
      <c r="O102" s="160">
        <f>SUM(C102:N102)</f>
        <v>6771</v>
      </c>
    </row>
    <row r="103" spans="1:15">
      <c r="A103" s="161"/>
      <c r="B103" s="162" t="s">
        <v>23</v>
      </c>
      <c r="C103" s="163">
        <v>0</v>
      </c>
      <c r="D103" s="163">
        <v>0</v>
      </c>
      <c r="E103" s="163">
        <v>0</v>
      </c>
      <c r="F103" s="163">
        <v>0</v>
      </c>
      <c r="G103" s="163">
        <v>0</v>
      </c>
      <c r="H103" s="163">
        <v>0</v>
      </c>
      <c r="I103" s="163">
        <v>0</v>
      </c>
      <c r="J103" s="163">
        <v>0</v>
      </c>
      <c r="K103" s="163">
        <v>0</v>
      </c>
      <c r="L103" s="163">
        <v>0</v>
      </c>
      <c r="M103" s="163">
        <v>0</v>
      </c>
      <c r="N103" s="163">
        <v>0</v>
      </c>
      <c r="O103" s="164">
        <f>SUM(C103:N103)</f>
        <v>0</v>
      </c>
    </row>
    <row r="104" spans="1:15">
      <c r="A104" s="165"/>
      <c r="B104" s="166" t="s">
        <v>160</v>
      </c>
      <c r="C104" s="167">
        <f>'Forecast Input'!D43</f>
        <v>0</v>
      </c>
      <c r="D104" s="167">
        <f>'Forecast Input'!E43</f>
        <v>0</v>
      </c>
      <c r="E104" s="167">
        <f>'Forecast Input'!F43</f>
        <v>0</v>
      </c>
      <c r="F104" s="167">
        <f>'Forecast Input'!G43</f>
        <v>7382</v>
      </c>
      <c r="G104" s="167">
        <f>'Forecast Input'!H43</f>
        <v>8859</v>
      </c>
      <c r="H104" s="167">
        <f>'Forecast Input'!I43</f>
        <v>10631</v>
      </c>
      <c r="I104" s="167">
        <f>'Forecast Input'!J43</f>
        <v>11694</v>
      </c>
      <c r="J104" s="167">
        <f>'Forecast Input'!K43</f>
        <v>14032</v>
      </c>
      <c r="K104" s="167">
        <f>'Forecast Input'!L43</f>
        <v>16839</v>
      </c>
      <c r="L104" s="167">
        <f>'Forecast Input'!M43</f>
        <v>20207</v>
      </c>
      <c r="M104" s="167">
        <f>'Forecast Input'!N43</f>
        <v>24248</v>
      </c>
      <c r="N104" s="167">
        <f>'Forecast Input'!O43</f>
        <v>29097</v>
      </c>
      <c r="O104" s="168">
        <f>SUM(C104:N104)</f>
        <v>142989</v>
      </c>
    </row>
    <row r="105" spans="1:15">
      <c r="A105" s="169"/>
      <c r="B105" s="170" t="s">
        <v>196</v>
      </c>
      <c r="C105" s="171" t="str">
        <f>IF(C102=0,"-",C102-C104)</f>
        <v>-</v>
      </c>
      <c r="D105" s="171">
        <f>IF(D102=0,"-",D102-D104)</f>
        <v>1498</v>
      </c>
      <c r="E105" s="171">
        <f>IF(E102=0,"-",E102-E104)</f>
        <v>5273</v>
      </c>
      <c r="F105" s="171" t="str">
        <f>IF(F102=0,"-",F102-F104)</f>
        <v>-</v>
      </c>
      <c r="G105" s="171" t="str">
        <f>IF(G102=0,"-",G102-G104)</f>
        <v>-</v>
      </c>
      <c r="H105" s="171" t="str">
        <f>IF(H102=0,"-",H102-H104)</f>
        <v>-</v>
      </c>
      <c r="I105" s="171" t="str">
        <f>IF(I102=0,"-",I102-I104)</f>
        <v>-</v>
      </c>
      <c r="J105" s="171" t="str">
        <f>IF(J102=0,"-",J102-J104)</f>
        <v>-</v>
      </c>
      <c r="K105" s="171" t="str">
        <f>IF(K102=0,"-",K102-K104)</f>
        <v>-</v>
      </c>
      <c r="L105" s="171" t="str">
        <f>IF(L102=0,"-",L102-L104)</f>
        <v>-</v>
      </c>
      <c r="M105" s="171" t="str">
        <f>IF(M102=0,"-",M102-M104)</f>
        <v>-</v>
      </c>
      <c r="N105" s="171" t="str">
        <f>IF(N102=0,"-",N102-N104)</f>
        <v>-</v>
      </c>
      <c r="O105" s="48"/>
    </row>
    <row r="106" spans="1:15">
      <c r="A106" s="169"/>
      <c r="B106" s="170" t="s">
        <v>197</v>
      </c>
      <c r="C106" s="172" t="str">
        <f>IFERROR(C105/C102,"-")</f>
        <v>-</v>
      </c>
      <c r="D106" s="172">
        <f>IFERROR(D105/D102,"-")</f>
        <v>1</v>
      </c>
      <c r="E106" s="172">
        <f>IFERROR(E105/E102,"-")</f>
        <v>1</v>
      </c>
      <c r="F106" s="172" t="str">
        <f>IFERROR(F105/F102,"-")</f>
        <v>-</v>
      </c>
      <c r="G106" s="172" t="str">
        <f>IFERROR(G105/G102,"-")</f>
        <v>-</v>
      </c>
      <c r="H106" s="172" t="str">
        <f>IFERROR(H105/H102,"-")</f>
        <v>-</v>
      </c>
      <c r="I106" s="172" t="str">
        <f>IFERROR(I105/I102,"-")</f>
        <v>-</v>
      </c>
      <c r="J106" s="172" t="str">
        <f>IFERROR(J105/J102,"-")</f>
        <v>-</v>
      </c>
      <c r="K106" s="172" t="str">
        <f>IFERROR(K105/K102,"-")</f>
        <v>-</v>
      </c>
      <c r="L106" s="172" t="str">
        <f>IFERROR(L105/L102,"-")</f>
        <v>-</v>
      </c>
      <c r="M106" s="172" t="str">
        <f>IFERROR(M105/M102,"-")</f>
        <v>-</v>
      </c>
      <c r="N106" s="172" t="str">
        <f>IFERROR(N105/N102,"-")</f>
        <v>-</v>
      </c>
      <c r="O106" s="48"/>
    </row>
    <row r="107" spans="1:15">
      <c r="A107" s="169"/>
      <c r="B107" s="170" t="s">
        <v>198</v>
      </c>
      <c r="C107" s="171">
        <f>IFERROR(C104-C103,"-")</f>
        <v>0</v>
      </c>
      <c r="D107" s="171">
        <f>IFERROR(D104-D103,"-")</f>
        <v>0</v>
      </c>
      <c r="E107" s="171">
        <f>IFERROR(E104-E103,"-")</f>
        <v>0</v>
      </c>
      <c r="F107" s="171">
        <f>IFERROR(F104-F103,"-")</f>
        <v>7382</v>
      </c>
      <c r="G107" s="171">
        <f>IFERROR(G104-G103,"-")</f>
        <v>8859</v>
      </c>
      <c r="H107" s="171">
        <f>IFERROR(H104-H103,"-")</f>
        <v>10631</v>
      </c>
      <c r="I107" s="171">
        <f>IFERROR(I104-I103,"-")</f>
        <v>11694</v>
      </c>
      <c r="J107" s="171">
        <f>IFERROR(J104-J103,"-")</f>
        <v>14032</v>
      </c>
      <c r="K107" s="171">
        <f>IFERROR(K104-K103,"-")</f>
        <v>16839</v>
      </c>
      <c r="L107" s="171">
        <f>IFERROR(L104-L103,"-")</f>
        <v>20207</v>
      </c>
      <c r="M107" s="171">
        <f>IFERROR(M104-M103,"-")</f>
        <v>24248</v>
      </c>
      <c r="N107" s="171">
        <f>IFERROR(N104-N103,"-")</f>
        <v>29097</v>
      </c>
      <c r="O107" s="48"/>
    </row>
    <row r="108" spans="1:15">
      <c r="A108" s="173"/>
      <c r="B108" s="174" t="s">
        <v>199</v>
      </c>
      <c r="C108" s="172" t="str">
        <f>IFERROR(C107/C103,"-")</f>
        <v>-</v>
      </c>
      <c r="D108" s="172" t="str">
        <f>IFERROR(D107/D103,"-")</f>
        <v>-</v>
      </c>
      <c r="E108" s="172" t="str">
        <f>IFERROR(E107/E103,"-")</f>
        <v>-</v>
      </c>
      <c r="F108" s="172" t="str">
        <f>IFERROR(F107/F103,"-")</f>
        <v>-</v>
      </c>
      <c r="G108" s="172" t="str">
        <f>IFERROR(G107/G103,"-")</f>
        <v>-</v>
      </c>
      <c r="H108" s="172" t="str">
        <f>IFERROR(H107/H103,"-")</f>
        <v>-</v>
      </c>
      <c r="I108" s="172" t="str">
        <f>IFERROR(I107/I103,"-")</f>
        <v>-</v>
      </c>
      <c r="J108" s="172" t="str">
        <f>IFERROR(J107/J103,"-")</f>
        <v>-</v>
      </c>
      <c r="K108" s="172" t="str">
        <f>IFERROR(K107/K103,"-")</f>
        <v>-</v>
      </c>
      <c r="L108" s="172" t="str">
        <f>IFERROR(L107/L103,"-")</f>
        <v>-</v>
      </c>
      <c r="M108" s="172" t="str">
        <f>IFERROR(M107/M103,"-")</f>
        <v>-</v>
      </c>
      <c r="N108" s="172" t="str">
        <f>IFERROR(N107/N103,"-")</f>
        <v>-</v>
      </c>
      <c r="O108" s="50"/>
    </row>
    <row r="109" spans="1:15">
      <c r="A109" s="39" t="s">
        <v>63</v>
      </c>
      <c r="B109" s="40" t="s">
        <v>194</v>
      </c>
      <c r="C109" s="41">
        <f>'Forecast Input'!D11</f>
        <v>373629.35438099998</v>
      </c>
      <c r="D109" s="41">
        <f>'Forecast Input'!E11</f>
        <v>478517.08681399998</v>
      </c>
      <c r="E109" s="41">
        <f>'Forecast Input'!F11</f>
        <v>568834.07961300004</v>
      </c>
      <c r="F109" s="41">
        <f>'Forecast Input'!G11</f>
        <v>0</v>
      </c>
      <c r="G109" s="41">
        <f>'Forecast Input'!H11</f>
        <v>0</v>
      </c>
      <c r="H109" s="41">
        <f>'Forecast Input'!I11</f>
        <v>0</v>
      </c>
      <c r="I109" s="41">
        <f>'Forecast Input'!J11</f>
        <v>0</v>
      </c>
      <c r="J109" s="41">
        <f>'Forecast Input'!K11</f>
        <v>0</v>
      </c>
      <c r="K109" s="41">
        <f>'Forecast Input'!L11</f>
        <v>0</v>
      </c>
      <c r="L109" s="41">
        <f>'Forecast Input'!M11</f>
        <v>0</v>
      </c>
      <c r="M109" s="41">
        <f>'Forecast Input'!N11</f>
        <v>0</v>
      </c>
      <c r="N109" s="41">
        <f>'Forecast Input'!O11</f>
        <v>0</v>
      </c>
      <c r="O109" s="42">
        <f>SUM(C109:N109)</f>
        <v>1420980.5208080001</v>
      </c>
    </row>
    <row r="110" spans="1:15">
      <c r="A110" s="43"/>
      <c r="B110" s="33" t="s">
        <v>23</v>
      </c>
      <c r="C110" s="22">
        <v>86936</v>
      </c>
      <c r="D110" s="22">
        <v>118032</v>
      </c>
      <c r="E110" s="22">
        <v>78122</v>
      </c>
      <c r="F110" s="22">
        <v>53123</v>
      </c>
      <c r="G110" s="22">
        <v>46071</v>
      </c>
      <c r="H110" s="22">
        <v>31999</v>
      </c>
      <c r="I110" s="22">
        <v>48249</v>
      </c>
      <c r="J110" s="22">
        <v>36086</v>
      </c>
      <c r="K110" s="22">
        <v>110602</v>
      </c>
      <c r="L110" s="22">
        <v>107949</v>
      </c>
      <c r="M110" s="22">
        <v>136701</v>
      </c>
      <c r="N110" s="22">
        <v>193735</v>
      </c>
      <c r="O110" s="44">
        <f>SUM(C110:N110)</f>
        <v>1047605</v>
      </c>
    </row>
    <row r="111" spans="1:15">
      <c r="A111" s="45"/>
      <c r="B111" s="34" t="s">
        <v>160</v>
      </c>
      <c r="C111" s="17">
        <f>'Forecast Input'!D12</f>
        <v>390000</v>
      </c>
      <c r="D111" s="17">
        <f>'Forecast Input'!E12</f>
        <v>350000</v>
      </c>
      <c r="E111" s="17">
        <f>'Forecast Input'!F12</f>
        <v>600000</v>
      </c>
      <c r="F111" s="17">
        <f>'Forecast Input'!G12</f>
        <v>500000</v>
      </c>
      <c r="G111" s="17">
        <f>'Forecast Input'!H12</f>
        <v>350000</v>
      </c>
      <c r="H111" s="17">
        <f>'Forecast Input'!I12</f>
        <v>350000</v>
      </c>
      <c r="I111" s="17">
        <f>'Forecast Input'!J12</f>
        <v>350000</v>
      </c>
      <c r="J111" s="17">
        <f>'Forecast Input'!K12</f>
        <v>500000</v>
      </c>
      <c r="K111" s="17">
        <f>'Forecast Input'!L12</f>
        <v>600000</v>
      </c>
      <c r="L111" s="17">
        <f>'Forecast Input'!M12</f>
        <v>500000</v>
      </c>
      <c r="M111" s="17">
        <f>'Forecast Input'!N12</f>
        <v>500000</v>
      </c>
      <c r="N111" s="17">
        <f>'Forecast Input'!O12</f>
        <v>500000</v>
      </c>
      <c r="O111" s="46">
        <f>SUM(C111:N111)</f>
        <v>5490000</v>
      </c>
    </row>
    <row r="112" spans="1:15">
      <c r="A112" s="47"/>
      <c r="B112" s="86" t="s">
        <v>196</v>
      </c>
      <c r="C112" s="153">
        <f>IF(C109=0,"-",C109-C111)</f>
        <v>-16370.645619000017</v>
      </c>
      <c r="D112" s="153">
        <f t="shared" ref="D112:N112" si="56">IF(D109=0,"-",D109-D111)</f>
        <v>128517.08681399998</v>
      </c>
      <c r="E112" s="153">
        <f t="shared" si="56"/>
        <v>-31165.920386999962</v>
      </c>
      <c r="F112" s="153" t="str">
        <f t="shared" si="56"/>
        <v>-</v>
      </c>
      <c r="G112" s="153" t="str">
        <f t="shared" si="56"/>
        <v>-</v>
      </c>
      <c r="H112" s="153" t="str">
        <f t="shared" si="56"/>
        <v>-</v>
      </c>
      <c r="I112" s="153" t="str">
        <f t="shared" si="56"/>
        <v>-</v>
      </c>
      <c r="J112" s="153" t="str">
        <f t="shared" si="56"/>
        <v>-</v>
      </c>
      <c r="K112" s="153" t="str">
        <f t="shared" si="56"/>
        <v>-</v>
      </c>
      <c r="L112" s="153" t="str">
        <f t="shared" si="56"/>
        <v>-</v>
      </c>
      <c r="M112" s="153" t="str">
        <f t="shared" si="56"/>
        <v>-</v>
      </c>
      <c r="N112" s="153" t="str">
        <f t="shared" si="56"/>
        <v>-</v>
      </c>
      <c r="O112" s="48"/>
    </row>
    <row r="113" spans="1:15">
      <c r="A113" s="47"/>
      <c r="B113" s="86" t="s">
        <v>197</v>
      </c>
      <c r="C113" s="154">
        <f>IFERROR(C112/C109,"-")</f>
        <v>-4.3815201956285334E-2</v>
      </c>
      <c r="D113" s="154">
        <f t="shared" ref="D113:N113" si="57">IFERROR(D112/D109,"-")</f>
        <v>0.26857366300057472</v>
      </c>
      <c r="E113" s="154">
        <f t="shared" si="57"/>
        <v>-5.4789123057119485E-2</v>
      </c>
      <c r="F113" s="154" t="str">
        <f t="shared" si="57"/>
        <v>-</v>
      </c>
      <c r="G113" s="154" t="str">
        <f t="shared" si="57"/>
        <v>-</v>
      </c>
      <c r="H113" s="154" t="str">
        <f t="shared" si="57"/>
        <v>-</v>
      </c>
      <c r="I113" s="154" t="str">
        <f t="shared" si="57"/>
        <v>-</v>
      </c>
      <c r="J113" s="154" t="str">
        <f t="shared" si="57"/>
        <v>-</v>
      </c>
      <c r="K113" s="154" t="str">
        <f t="shared" si="57"/>
        <v>-</v>
      </c>
      <c r="L113" s="154" t="str">
        <f t="shared" si="57"/>
        <v>-</v>
      </c>
      <c r="M113" s="154" t="str">
        <f t="shared" si="57"/>
        <v>-</v>
      </c>
      <c r="N113" s="154" t="str">
        <f t="shared" si="57"/>
        <v>-</v>
      </c>
      <c r="O113" s="48"/>
    </row>
    <row r="114" spans="1:15">
      <c r="A114" s="47"/>
      <c r="B114" s="86" t="s">
        <v>198</v>
      </c>
      <c r="C114" s="153">
        <f t="shared" ref="C114:N114" si="58">IFERROR(C111-C110,"-")</f>
        <v>303064</v>
      </c>
      <c r="D114" s="153">
        <f t="shared" si="58"/>
        <v>231968</v>
      </c>
      <c r="E114" s="153">
        <f t="shared" si="58"/>
        <v>521878</v>
      </c>
      <c r="F114" s="153">
        <f t="shared" si="58"/>
        <v>446877</v>
      </c>
      <c r="G114" s="153">
        <f t="shared" si="58"/>
        <v>303929</v>
      </c>
      <c r="H114" s="153">
        <f t="shared" si="58"/>
        <v>318001</v>
      </c>
      <c r="I114" s="153">
        <f t="shared" si="58"/>
        <v>301751</v>
      </c>
      <c r="J114" s="153">
        <f t="shared" si="58"/>
        <v>463914</v>
      </c>
      <c r="K114" s="153">
        <f t="shared" si="58"/>
        <v>489398</v>
      </c>
      <c r="L114" s="153">
        <f t="shared" si="58"/>
        <v>392051</v>
      </c>
      <c r="M114" s="153">
        <f t="shared" si="58"/>
        <v>363299</v>
      </c>
      <c r="N114" s="153">
        <f t="shared" si="58"/>
        <v>306265</v>
      </c>
      <c r="O114" s="48"/>
    </row>
    <row r="115" spans="1:15" ht="15.95" thickBot="1">
      <c r="A115" s="49"/>
      <c r="B115" s="155" t="s">
        <v>199</v>
      </c>
      <c r="C115" s="154">
        <f>IFERROR(C114/C110,"-")</f>
        <v>3.4860587098555258</v>
      </c>
      <c r="D115" s="154">
        <f t="shared" ref="D115:N115" si="59">IFERROR(D114/D110,"-")</f>
        <v>1.9652975464280873</v>
      </c>
      <c r="E115" s="154">
        <f t="shared" si="59"/>
        <v>6.6802949233250555</v>
      </c>
      <c r="F115" s="154">
        <f t="shared" si="59"/>
        <v>8.412119044481674</v>
      </c>
      <c r="G115" s="154">
        <f t="shared" si="59"/>
        <v>6.5969698942935899</v>
      </c>
      <c r="H115" s="154">
        <f t="shared" si="59"/>
        <v>9.9378418075564863</v>
      </c>
      <c r="I115" s="154">
        <f t="shared" si="59"/>
        <v>6.2540363530850378</v>
      </c>
      <c r="J115" s="154">
        <f t="shared" si="59"/>
        <v>12.855788948622735</v>
      </c>
      <c r="K115" s="154">
        <f t="shared" si="59"/>
        <v>4.4248566933690165</v>
      </c>
      <c r="L115" s="154">
        <f t="shared" si="59"/>
        <v>3.6318168764879712</v>
      </c>
      <c r="M115" s="154">
        <f t="shared" si="59"/>
        <v>2.657617720426332</v>
      </c>
      <c r="N115" s="154">
        <f t="shared" si="59"/>
        <v>1.5808449686427337</v>
      </c>
      <c r="O115" s="50"/>
    </row>
    <row r="116" spans="1:15">
      <c r="A116" s="35"/>
      <c r="B116" s="35"/>
      <c r="C116" s="35"/>
      <c r="D116" s="35"/>
      <c r="E116" s="35"/>
      <c r="F116" s="35"/>
      <c r="G116" s="35"/>
      <c r="H116" s="35"/>
      <c r="I116" s="35"/>
      <c r="J116" s="35"/>
      <c r="K116" s="35"/>
      <c r="L116" s="35"/>
      <c r="M116" s="35"/>
      <c r="N116" s="35"/>
      <c r="O116" s="35"/>
    </row>
    <row r="117" spans="1:15">
      <c r="A117" s="213" t="s">
        <v>265</v>
      </c>
      <c r="B117" s="213"/>
      <c r="C117" s="29">
        <f>IFERROR(IF(C4+C11+C18+C25+C32+C39+C46+C53+C60+C67+C74+C81+C88+C95+C102+C109&gt;0,C4+C11+C18+C25+C32+C39+C46+C53+C60+C67+C74+C81+C88+C95+C102+C109,C6+C13+C20+C27+C34+C41+C48+C55+C62+C69+C76+C83+C90+C97+C104+C111),C6+C13+C20+C27+C34+C41+C48+C55+C62+C69+C76+C83+C90+C97+C104+C111)</f>
        <v>600763.39642100001</v>
      </c>
      <c r="D117" s="29">
        <f>IFERROR(IF(D4+D11+D18+D25+D32+D39+D46+D53+D60+D67+D74+D81+D88+D95+D102+D109&gt;0,D4+D11+D18+D25+D32+D39+D46+D53+D60+D67+D74+D81+D88+D95+D102+D109,D6+D13+D20+D27+D34+D41+D48+D55+D62+D69+D76+D83+D90+D97+D104+D111),D6+D13+D20+D27+D34+D41+D48+D55+D62+D69+D76+D83+D90+D97+D104+D111)</f>
        <v>725694.19706799998</v>
      </c>
      <c r="E117" s="29">
        <f>IFERROR(IF(E4+E11+E18+E25+E32+E39+E46+E53+E60+E67+E74+E81+E88+E95+E102+E109&gt;0,E4+E11+E18+E25+E32+E39+E46+E53+E60+E67+E74+E81+E88+E95+E102+E109,E6+E13+E20+E27+E34+E41+E48+E55+E62+E69+E76+E83+E90+E97+E104+E111),E6+E13+E20+E27+E34+E41+E48+E55+E62+E69+E76+E83+E90+E97+E104+E111)</f>
        <v>634798.07961300004</v>
      </c>
      <c r="F117" s="29">
        <f>IFERROR(IF(F4+F11+F18+F25+F32+F39+F46+F53+F60+F67+F74+F81+F88+F95+F102+F109&gt;0,F4+F11+F18+F25+F32+F39+F46+F53+F60+F67+F74+F81+F88+F95+F102+F109,F6+F13+F20+F27+F34+F41+F48+F55+F62+F69+F76+F83+F90+F97+F104+F111),F6+F13+F20+F27+F34+F41+F48+F55+F62+F69+F76+F83+F90+F97+F104+F111)</f>
        <v>777582</v>
      </c>
      <c r="G117" s="29">
        <f>IFERROR(IF(G4+G11+G18+G25+G32+G39+G46+G53+G60+G67+G74+G81+G88+G95+G102+G109&gt;0,G4+G11+G18+G25+G32+G39+G46+G53+G60+G67+G74+G81+G88+G95+G102+G109,G6+G13+G20+G27+G34+G41+G48+G55+G62+G69+G76+G83+G90+G97+G104+G111),G6+G13+G20+G27+G34+G41+G48+G55+G62+G69+G76+G83+G90+G97+G104+G111)</f>
        <v>628059</v>
      </c>
      <c r="H117" s="29">
        <f>IFERROR(IF(H4+H11+H18+H25+H32+H39+H46+H53+H60+H67+H74+H81+H88+H95+H102+H109&gt;0,H4+H11+H18+H25+H32+H39+H46+H53+H60+H67+H74+H81+H88+H95+H102+H109,H6+H13+H20+H27+H34+H41+H48+H55+H62+H69+H76+H83+H90+H97+H104+H111),H6+H13+H20+H27+H34+H41+H48+H55+H62+H69+H76+H83+H90+H97+H104+H111)</f>
        <v>631831</v>
      </c>
      <c r="I117" s="29">
        <f>IFERROR(IF(I4+I11+I18+I25+I32+I39+I46+I53+I60+I67+I74+I81+I88+I95+I102+I109&gt;0,I4+I11+I18+I25+I32+I39+I46+I53+I60+I67+I74+I81+I88+I95+I102+I109,I6+I13+I20+I27+I34+I41+I48+I55+I62+I69+I76+I83+I90+I97+I104+I111),I6+I13+I20+I27+I34+I41+I48+I55+I62+I69+I76+I83+I90+I97+I104+I111)</f>
        <v>673894</v>
      </c>
      <c r="J117" s="29">
        <f>IFERROR(IF(J4+J11+J18+J25+J32+J39+J46+J53+J60+J67+J74+J81+J88+J95+J102+J109&gt;0,J4+J11+J18+J25+J32+J39+J46+J53+J60+J67+J74+J81+J88+J95+J102+J109,J6+J13+J20+J27+J34+J41+J48+J55+J62+J69+J76+J83+J90+J97+J104+J111),J6+J13+J20+J27+J34+J41+J48+J55+J62+J69+J76+J83+J90+J97+J104+J111)</f>
        <v>903232</v>
      </c>
      <c r="K117" s="29">
        <f>IFERROR(IF(K4+K11+K18+K25+K32+K39+K46+K53+K60+K67+K74+K81+K88+K95+K102+K109&gt;0,K4+K11+K18+K25+K32+K39+K46+K53+K60+K67+K74+K81+K88+K95+K102+K109,K6+K13+K20+K27+K34+K41+K48+K55+K62+K69+K76+K83+K90+K97+K104+K111),K6+K13+K20+K27+K34+K41+K48+K55+K62+K69+K76+K83+K90+K97+K104+K111)</f>
        <v>1045539</v>
      </c>
      <c r="L117" s="29">
        <f>IFERROR(IF(L4+L11+L18+L25+L32+L39+L46+L53+L60+L67+L74+L81+L88+L95+L102+L109&gt;0,L4+L11+L18+L25+L32+L39+L46+L53+L60+L67+L74+L81+L88+L95+L102+L109,L6+L13+L20+L27+L34+L41+L48+L55+L62+L69+L76+L83+L90+L97+L104+L111),L6+L13+L20+L27+L34+L41+L48+L55+L62+L69+L76+L83+L90+L97+L104+L111)</f>
        <v>893907</v>
      </c>
      <c r="M117" s="29">
        <f>IFERROR(IF(M4+M11+M18+M25+M32+M39+M46+M53+M60+M67+M74+M81+M88+M95+M102+M109&gt;0,M4+M11+M18+M25+M32+M39+M46+M53+M60+M67+M74+M81+M88+M95+M102+M109,M6+M13+M20+M27+M34+M41+M48+M55+M62+M69+M76+M83+M90+M97+M104+M111),M6+M13+M20+M27+M34+M41+M48+M55+M62+M69+M76+M83+M90+M97+M104+M111)</f>
        <v>897448</v>
      </c>
      <c r="N117" s="29">
        <f>IFERROR(IF(N4+N11+N18+N25+N32+N39+N46+N53+N60+N67+N74+N81+N88+N95+N102+N109&gt;0,N4+N11+N18+N25+N32+N39+N46+N53+N60+N67+N74+N81+N88+N95+N102+N109,N6+N13+N20+N27+N34+N41+N48+N55+N62+N69+N76+N83+N90+N97+N104+N111),N6+N13+N20+N27+N34+N41+N48+N55+N62+N69+N76+N83+N90+N97+N104+N111)</f>
        <v>900797</v>
      </c>
      <c r="O117" s="29">
        <f>SUM(C117:N117)</f>
        <v>9313544.6731020007</v>
      </c>
    </row>
  </sheetData>
  <sheetProtection sheet="1" objects="1" scenarios="1"/>
  <protectedRanges>
    <protectedRange sqref="P1:XFD1048576" name="Range1"/>
  </protectedRanges>
  <mergeCells count="3">
    <mergeCell ref="A1:O1"/>
    <mergeCell ref="A2:O2"/>
    <mergeCell ref="A117:B117"/>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O194"/>
  <sheetViews>
    <sheetView showGridLines="0" zoomScale="90" zoomScaleNormal="90" workbookViewId="0">
      <pane xSplit="2" ySplit="3" topLeftCell="C4" activePane="bottomRight" state="frozen"/>
      <selection pane="bottomRight" activeCell="C12" sqref="C12:M12"/>
      <selection pane="bottomLeft" activeCell="V31" sqref="V31"/>
      <selection pane="topRight" activeCell="V31" sqref="V31"/>
    </sheetView>
    <sheetView workbookViewId="1">
      <selection activeCell="T12" sqref="T12"/>
    </sheetView>
  </sheetViews>
  <sheetFormatPr defaultColWidth="8.7109375" defaultRowHeight="15"/>
  <cols>
    <col min="1" max="1" width="24" customWidth="1"/>
    <col min="2" max="2" width="19.28515625" customWidth="1"/>
    <col min="3" max="14" width="11.42578125" customWidth="1"/>
    <col min="15" max="15" width="13" customWidth="1"/>
  </cols>
  <sheetData>
    <row r="1" spans="1:15" ht="32.1" customHeight="1">
      <c r="A1" s="211" t="s">
        <v>266</v>
      </c>
      <c r="B1" s="211"/>
      <c r="C1" s="211"/>
      <c r="D1" s="211"/>
      <c r="E1" s="211"/>
      <c r="F1" s="211"/>
      <c r="G1" s="211"/>
      <c r="H1" s="211"/>
      <c r="I1" s="211"/>
      <c r="J1" s="211"/>
      <c r="K1" s="211"/>
      <c r="L1" s="211"/>
      <c r="M1" s="211"/>
      <c r="N1" s="211"/>
      <c r="O1" s="211"/>
    </row>
    <row r="2" spans="1:15" s="54" customFormat="1">
      <c r="A2" s="243" t="s">
        <v>193</v>
      </c>
      <c r="B2" s="243"/>
      <c r="C2" s="243"/>
      <c r="D2" s="243"/>
      <c r="E2" s="243"/>
      <c r="F2" s="243"/>
      <c r="G2" s="243"/>
      <c r="H2" s="243"/>
      <c r="I2" s="243"/>
      <c r="J2" s="243"/>
      <c r="K2" s="243"/>
      <c r="L2" s="243"/>
      <c r="M2" s="243"/>
      <c r="N2" s="243"/>
      <c r="O2" s="243"/>
    </row>
    <row r="3" spans="1:15" ht="15.95" thickBot="1">
      <c r="A3" s="38" t="s">
        <v>40</v>
      </c>
      <c r="B3" s="38" t="s">
        <v>41</v>
      </c>
      <c r="C3" s="38" t="s">
        <v>42</v>
      </c>
      <c r="D3" s="38" t="s">
        <v>43</v>
      </c>
      <c r="E3" s="38" t="s">
        <v>44</v>
      </c>
      <c r="F3" s="38" t="s">
        <v>45</v>
      </c>
      <c r="G3" s="38" t="s">
        <v>46</v>
      </c>
      <c r="H3" s="38" t="s">
        <v>47</v>
      </c>
      <c r="I3" s="38" t="s">
        <v>48</v>
      </c>
      <c r="J3" s="38" t="s">
        <v>49</v>
      </c>
      <c r="K3" s="38" t="s">
        <v>50</v>
      </c>
      <c r="L3" s="38" t="s">
        <v>51</v>
      </c>
      <c r="M3" s="38" t="s">
        <v>52</v>
      </c>
      <c r="N3" s="38" t="s">
        <v>53</v>
      </c>
      <c r="O3" s="38" t="s">
        <v>54</v>
      </c>
    </row>
    <row r="4" spans="1:15">
      <c r="A4" s="39" t="s">
        <v>91</v>
      </c>
      <c r="B4" s="40" t="s">
        <v>194</v>
      </c>
      <c r="C4" s="41">
        <f>'Forecast Input'!D48</f>
        <v>13350.067192</v>
      </c>
      <c r="D4" s="41">
        <f>'Forecast Input'!E48</f>
        <v>8927.3897469999993</v>
      </c>
      <c r="E4" s="41">
        <f>'Forecast Input'!F48</f>
        <v>15835.691838000001</v>
      </c>
      <c r="F4" s="41">
        <f>'Forecast Input'!G48</f>
        <v>0</v>
      </c>
      <c r="G4" s="41">
        <f>'Forecast Input'!H48</f>
        <v>0</v>
      </c>
      <c r="H4" s="41">
        <f>'Forecast Input'!I48</f>
        <v>0</v>
      </c>
      <c r="I4" s="41">
        <f>'Forecast Input'!J48</f>
        <v>0</v>
      </c>
      <c r="J4" s="41">
        <f>'Forecast Input'!K48</f>
        <v>0</v>
      </c>
      <c r="K4" s="41">
        <f>'Forecast Input'!L48</f>
        <v>0</v>
      </c>
      <c r="L4" s="41">
        <f>'Forecast Input'!M48</f>
        <v>0</v>
      </c>
      <c r="M4" s="41">
        <f>'Forecast Input'!N48</f>
        <v>0</v>
      </c>
      <c r="N4" s="41">
        <f>'Forecast Input'!O48</f>
        <v>0</v>
      </c>
      <c r="O4" s="42">
        <f>SUM(C4:N4)</f>
        <v>38113.148777000002</v>
      </c>
    </row>
    <row r="5" spans="1:15">
      <c r="A5" s="43"/>
      <c r="B5" s="33" t="s">
        <v>23</v>
      </c>
      <c r="C5" s="22">
        <v>25952</v>
      </c>
      <c r="D5" s="22">
        <v>33627</v>
      </c>
      <c r="E5" s="22">
        <v>28519</v>
      </c>
      <c r="F5" s="22">
        <v>21157</v>
      </c>
      <c r="G5" s="22">
        <v>12620</v>
      </c>
      <c r="H5" s="22">
        <v>25900</v>
      </c>
      <c r="I5" s="22">
        <v>19409</v>
      </c>
      <c r="J5" s="22">
        <v>17970</v>
      </c>
      <c r="K5" s="22">
        <v>29500</v>
      </c>
      <c r="L5" s="22">
        <v>20405</v>
      </c>
      <c r="M5" s="22">
        <v>39625</v>
      </c>
      <c r="N5" s="22">
        <v>35224</v>
      </c>
      <c r="O5" s="44">
        <f>SUM(C5:N5)</f>
        <v>309908</v>
      </c>
    </row>
    <row r="6" spans="1:15">
      <c r="A6" s="45"/>
      <c r="B6" s="34" t="s">
        <v>160</v>
      </c>
      <c r="C6" s="17">
        <f>'Forecast Input'!D49</f>
        <v>20000</v>
      </c>
      <c r="D6" s="17">
        <f>'Forecast Input'!E49</f>
        <v>12000</v>
      </c>
      <c r="E6" s="17">
        <f>'Forecast Input'!F49</f>
        <v>10000</v>
      </c>
      <c r="F6" s="17">
        <f>'Forecast Input'!G49</f>
        <v>5000</v>
      </c>
      <c r="G6" s="17">
        <f>'Forecast Input'!H49</f>
        <v>3000</v>
      </c>
      <c r="H6" s="17">
        <f>'Forecast Input'!I49</f>
        <v>3000</v>
      </c>
      <c r="I6" s="17">
        <f>'Forecast Input'!J49</f>
        <v>3000</v>
      </c>
      <c r="J6" s="17">
        <f>'Forecast Input'!K49</f>
        <v>5000</v>
      </c>
      <c r="K6" s="17">
        <f>'Forecast Input'!L49</f>
        <v>20000</v>
      </c>
      <c r="L6" s="17">
        <f>'Forecast Input'!M49</f>
        <v>15000</v>
      </c>
      <c r="M6" s="17">
        <f>'Forecast Input'!N49</f>
        <v>15000</v>
      </c>
      <c r="N6" s="17">
        <f>'Forecast Input'!O49</f>
        <v>15000</v>
      </c>
      <c r="O6" s="46">
        <f>SUM(C6:N6)</f>
        <v>126000</v>
      </c>
    </row>
    <row r="7" spans="1:15">
      <c r="A7" s="47"/>
      <c r="B7" s="86" t="s">
        <v>196</v>
      </c>
      <c r="C7" s="153">
        <f>IF(C4=0,"-",C4-C6)</f>
        <v>-6649.9328079999996</v>
      </c>
      <c r="D7" s="153">
        <f t="shared" ref="D7:N7" si="0">IF(D4=0,"-",D4-D6)</f>
        <v>-3072.6102530000007</v>
      </c>
      <c r="E7" s="153">
        <f t="shared" si="0"/>
        <v>5835.6918380000006</v>
      </c>
      <c r="F7" s="153" t="str">
        <f t="shared" si="0"/>
        <v>-</v>
      </c>
      <c r="G7" s="153" t="str">
        <f t="shared" si="0"/>
        <v>-</v>
      </c>
      <c r="H7" s="153" t="str">
        <f t="shared" si="0"/>
        <v>-</v>
      </c>
      <c r="I7" s="153" t="str">
        <f t="shared" si="0"/>
        <v>-</v>
      </c>
      <c r="J7" s="153" t="str">
        <f t="shared" si="0"/>
        <v>-</v>
      </c>
      <c r="K7" s="153" t="str">
        <f t="shared" si="0"/>
        <v>-</v>
      </c>
      <c r="L7" s="153" t="str">
        <f t="shared" si="0"/>
        <v>-</v>
      </c>
      <c r="M7" s="153" t="str">
        <f t="shared" si="0"/>
        <v>-</v>
      </c>
      <c r="N7" s="153" t="str">
        <f t="shared" si="0"/>
        <v>-</v>
      </c>
      <c r="O7" s="48"/>
    </row>
    <row r="8" spans="1:15">
      <c r="A8" s="47"/>
      <c r="B8" s="86" t="s">
        <v>197</v>
      </c>
      <c r="C8" s="154">
        <f>IFERROR(C7/C4,"-")</f>
        <v>-0.49811980062429634</v>
      </c>
      <c r="D8" s="154">
        <f t="shared" ref="D8:N8" si="1">IFERROR(D7/D4,"-")</f>
        <v>-0.34417789970831447</v>
      </c>
      <c r="E8" s="154">
        <f t="shared" si="1"/>
        <v>0.36851511747635968</v>
      </c>
      <c r="F8" s="154" t="str">
        <f t="shared" si="1"/>
        <v>-</v>
      </c>
      <c r="G8" s="154" t="str">
        <f t="shared" si="1"/>
        <v>-</v>
      </c>
      <c r="H8" s="154" t="str">
        <f t="shared" si="1"/>
        <v>-</v>
      </c>
      <c r="I8" s="154" t="str">
        <f t="shared" si="1"/>
        <v>-</v>
      </c>
      <c r="J8" s="154" t="str">
        <f t="shared" si="1"/>
        <v>-</v>
      </c>
      <c r="K8" s="154" t="str">
        <f t="shared" si="1"/>
        <v>-</v>
      </c>
      <c r="L8" s="154" t="str">
        <f t="shared" si="1"/>
        <v>-</v>
      </c>
      <c r="M8" s="154" t="str">
        <f t="shared" si="1"/>
        <v>-</v>
      </c>
      <c r="N8" s="154" t="str">
        <f t="shared" si="1"/>
        <v>-</v>
      </c>
      <c r="O8" s="48"/>
    </row>
    <row r="9" spans="1:15">
      <c r="A9" s="47"/>
      <c r="B9" s="86" t="s">
        <v>198</v>
      </c>
      <c r="C9" s="153">
        <f t="shared" ref="C9:N9" si="2">IFERROR(C6-C5,"-")</f>
        <v>-5952</v>
      </c>
      <c r="D9" s="153">
        <f t="shared" si="2"/>
        <v>-21627</v>
      </c>
      <c r="E9" s="153">
        <f t="shared" si="2"/>
        <v>-18519</v>
      </c>
      <c r="F9" s="153">
        <f t="shared" si="2"/>
        <v>-16157</v>
      </c>
      <c r="G9" s="153">
        <f t="shared" si="2"/>
        <v>-9620</v>
      </c>
      <c r="H9" s="153">
        <f t="shared" si="2"/>
        <v>-22900</v>
      </c>
      <c r="I9" s="153">
        <f t="shared" si="2"/>
        <v>-16409</v>
      </c>
      <c r="J9" s="153">
        <f t="shared" si="2"/>
        <v>-12970</v>
      </c>
      <c r="K9" s="153">
        <f t="shared" si="2"/>
        <v>-9500</v>
      </c>
      <c r="L9" s="153">
        <f t="shared" si="2"/>
        <v>-5405</v>
      </c>
      <c r="M9" s="153">
        <f t="shared" si="2"/>
        <v>-24625</v>
      </c>
      <c r="N9" s="153">
        <f t="shared" si="2"/>
        <v>-20224</v>
      </c>
      <c r="O9" s="48"/>
    </row>
    <row r="10" spans="1:15" ht="15.95" thickBot="1">
      <c r="A10" s="49"/>
      <c r="B10" s="155" t="s">
        <v>199</v>
      </c>
      <c r="C10" s="154">
        <f>IFERROR(C9/C5,"-")</f>
        <v>-0.22934648581997533</v>
      </c>
      <c r="D10" s="154">
        <f t="shared" ref="D10:N10" si="3">IFERROR(D9/D5,"-")</f>
        <v>-0.64314390222142925</v>
      </c>
      <c r="E10" s="154">
        <f t="shared" si="3"/>
        <v>-0.64935656930467411</v>
      </c>
      <c r="F10" s="154">
        <f t="shared" si="3"/>
        <v>-0.76367159805265394</v>
      </c>
      <c r="G10" s="154">
        <f t="shared" si="3"/>
        <v>-0.76228209191759111</v>
      </c>
      <c r="H10" s="154">
        <f t="shared" si="3"/>
        <v>-0.88416988416988418</v>
      </c>
      <c r="I10" s="154">
        <f t="shared" si="3"/>
        <v>-0.84543253129991236</v>
      </c>
      <c r="J10" s="154">
        <f t="shared" si="3"/>
        <v>-0.7217584863661658</v>
      </c>
      <c r="K10" s="154">
        <f t="shared" si="3"/>
        <v>-0.32203389830508472</v>
      </c>
      <c r="L10" s="154">
        <f t="shared" si="3"/>
        <v>-0.26488605733888754</v>
      </c>
      <c r="M10" s="154">
        <f t="shared" si="3"/>
        <v>-0.62145110410094639</v>
      </c>
      <c r="N10" s="154">
        <f t="shared" si="3"/>
        <v>-0.57415398591869182</v>
      </c>
      <c r="O10" s="50"/>
    </row>
    <row r="11" spans="1:15">
      <c r="A11" s="39" t="s">
        <v>92</v>
      </c>
      <c r="B11" s="40" t="s">
        <v>194</v>
      </c>
      <c r="C11" s="41">
        <f>'Forecast Input'!D50</f>
        <v>10130.180700999999</v>
      </c>
      <c r="D11" s="41">
        <f>'Forecast Input'!E50</f>
        <v>2170.7609940000002</v>
      </c>
      <c r="E11" s="41">
        <f>'Forecast Input'!F50</f>
        <v>4496.6503309999998</v>
      </c>
      <c r="F11" s="41">
        <f>'Forecast Input'!G50</f>
        <v>0</v>
      </c>
      <c r="G11" s="41">
        <f>'Forecast Input'!H50</f>
        <v>0</v>
      </c>
      <c r="H11" s="41">
        <f>'Forecast Input'!I50</f>
        <v>0</v>
      </c>
      <c r="I11" s="41">
        <f>'Forecast Input'!J50</f>
        <v>0</v>
      </c>
      <c r="J11" s="41">
        <f>'Forecast Input'!K50</f>
        <v>0</v>
      </c>
      <c r="K11" s="41">
        <f>'Forecast Input'!L50</f>
        <v>0</v>
      </c>
      <c r="L11" s="41">
        <f>'Forecast Input'!M50</f>
        <v>0</v>
      </c>
      <c r="M11" s="41">
        <f>'Forecast Input'!N50</f>
        <v>0</v>
      </c>
      <c r="N11" s="41">
        <f>'Forecast Input'!O50</f>
        <v>0</v>
      </c>
      <c r="O11" s="42">
        <f>SUM(C11:N11)</f>
        <v>16797.592025999998</v>
      </c>
    </row>
    <row r="12" spans="1:15">
      <c r="A12" s="43"/>
      <c r="B12" s="33" t="s">
        <v>23</v>
      </c>
      <c r="C12" s="22">
        <v>8347</v>
      </c>
      <c r="D12" s="22">
        <v>6119</v>
      </c>
      <c r="E12" s="22">
        <v>11631</v>
      </c>
      <c r="F12" s="22">
        <v>11407</v>
      </c>
      <c r="G12" s="22">
        <v>3718</v>
      </c>
      <c r="H12" s="22">
        <v>12099</v>
      </c>
      <c r="I12" s="22">
        <v>4995</v>
      </c>
      <c r="J12" s="22">
        <v>-4308</v>
      </c>
      <c r="K12" s="22">
        <v>-2147</v>
      </c>
      <c r="L12" s="22">
        <v>1431</v>
      </c>
      <c r="M12" s="22">
        <v>16201</v>
      </c>
      <c r="N12" s="22">
        <v>11309</v>
      </c>
      <c r="O12" s="44">
        <f>SUM(C12:N12)</f>
        <v>80802</v>
      </c>
    </row>
    <row r="13" spans="1:15">
      <c r="A13" s="45"/>
      <c r="B13" s="34" t="s">
        <v>160</v>
      </c>
      <c r="C13" s="17">
        <f>'Forecast Input'!D51</f>
        <v>15000</v>
      </c>
      <c r="D13" s="17">
        <f>'Forecast Input'!E51</f>
        <v>12000</v>
      </c>
      <c r="E13" s="17">
        <f>'Forecast Input'!F51</f>
        <v>10000</v>
      </c>
      <c r="F13" s="17">
        <f>'Forecast Input'!G51</f>
        <v>8000</v>
      </c>
      <c r="G13" s="17">
        <f>'Forecast Input'!H51</f>
        <v>3000</v>
      </c>
      <c r="H13" s="17">
        <f>'Forecast Input'!I51</f>
        <v>3000</v>
      </c>
      <c r="I13" s="17">
        <f>'Forecast Input'!J51</f>
        <v>3000</v>
      </c>
      <c r="J13" s="17">
        <f>'Forecast Input'!K51</f>
        <v>5000</v>
      </c>
      <c r="K13" s="17">
        <f>'Forecast Input'!L51</f>
        <v>10000</v>
      </c>
      <c r="L13" s="17">
        <f>'Forecast Input'!M51</f>
        <v>8000</v>
      </c>
      <c r="M13" s="17">
        <f>'Forecast Input'!N51</f>
        <v>8000</v>
      </c>
      <c r="N13" s="17">
        <f>'Forecast Input'!O51</f>
        <v>10000</v>
      </c>
      <c r="O13" s="46">
        <f>SUM(C13:N13)</f>
        <v>95000</v>
      </c>
    </row>
    <row r="14" spans="1:15">
      <c r="A14" s="47"/>
      <c r="B14" s="86" t="s">
        <v>196</v>
      </c>
      <c r="C14" s="153">
        <f>IF(C11=0,"-",C11-C13)</f>
        <v>-4869.8192990000007</v>
      </c>
      <c r="D14" s="153">
        <f t="shared" ref="D14:N14" si="4">IF(D11=0,"-",D11-D13)</f>
        <v>-9829.2390059999998</v>
      </c>
      <c r="E14" s="153">
        <f t="shared" si="4"/>
        <v>-5503.3496690000002</v>
      </c>
      <c r="F14" s="153" t="str">
        <f t="shared" si="4"/>
        <v>-</v>
      </c>
      <c r="G14" s="153" t="str">
        <f t="shared" si="4"/>
        <v>-</v>
      </c>
      <c r="H14" s="153" t="str">
        <f t="shared" si="4"/>
        <v>-</v>
      </c>
      <c r="I14" s="153" t="str">
        <f t="shared" si="4"/>
        <v>-</v>
      </c>
      <c r="J14" s="153" t="str">
        <f t="shared" si="4"/>
        <v>-</v>
      </c>
      <c r="K14" s="153" t="str">
        <f t="shared" si="4"/>
        <v>-</v>
      </c>
      <c r="L14" s="153" t="str">
        <f t="shared" si="4"/>
        <v>-</v>
      </c>
      <c r="M14" s="153" t="str">
        <f t="shared" si="4"/>
        <v>-</v>
      </c>
      <c r="N14" s="153" t="str">
        <f t="shared" si="4"/>
        <v>-</v>
      </c>
      <c r="O14" s="48"/>
    </row>
    <row r="15" spans="1:15">
      <c r="A15" s="47"/>
      <c r="B15" s="86" t="s">
        <v>197</v>
      </c>
      <c r="C15" s="154">
        <f>IFERROR(C14/C11,"-")</f>
        <v>-0.48072383333885416</v>
      </c>
      <c r="D15" s="154">
        <f t="shared" ref="D15:N15" si="5">IFERROR(D14/D11,"-")</f>
        <v>-4.5280153057697694</v>
      </c>
      <c r="E15" s="154">
        <f t="shared" si="5"/>
        <v>-1.2238776119770298</v>
      </c>
      <c r="F15" s="154" t="str">
        <f t="shared" si="5"/>
        <v>-</v>
      </c>
      <c r="G15" s="154" t="str">
        <f t="shared" si="5"/>
        <v>-</v>
      </c>
      <c r="H15" s="154" t="str">
        <f t="shared" si="5"/>
        <v>-</v>
      </c>
      <c r="I15" s="154" t="str">
        <f t="shared" si="5"/>
        <v>-</v>
      </c>
      <c r="J15" s="154" t="str">
        <f t="shared" si="5"/>
        <v>-</v>
      </c>
      <c r="K15" s="154" t="str">
        <f t="shared" si="5"/>
        <v>-</v>
      </c>
      <c r="L15" s="154" t="str">
        <f t="shared" si="5"/>
        <v>-</v>
      </c>
      <c r="M15" s="154" t="str">
        <f t="shared" si="5"/>
        <v>-</v>
      </c>
      <c r="N15" s="154" t="str">
        <f t="shared" si="5"/>
        <v>-</v>
      </c>
      <c r="O15" s="48"/>
    </row>
    <row r="16" spans="1:15">
      <c r="A16" s="47"/>
      <c r="B16" s="86" t="s">
        <v>198</v>
      </c>
      <c r="C16" s="153">
        <f t="shared" ref="C16:N16" si="6">IFERROR(C13-C12,"-")</f>
        <v>6653</v>
      </c>
      <c r="D16" s="153">
        <f t="shared" si="6"/>
        <v>5881</v>
      </c>
      <c r="E16" s="153">
        <f t="shared" si="6"/>
        <v>-1631</v>
      </c>
      <c r="F16" s="153">
        <f t="shared" si="6"/>
        <v>-3407</v>
      </c>
      <c r="G16" s="153">
        <f t="shared" si="6"/>
        <v>-718</v>
      </c>
      <c r="H16" s="153">
        <f t="shared" si="6"/>
        <v>-9099</v>
      </c>
      <c r="I16" s="153">
        <f t="shared" si="6"/>
        <v>-1995</v>
      </c>
      <c r="J16" s="153">
        <f t="shared" si="6"/>
        <v>9308</v>
      </c>
      <c r="K16" s="153">
        <f t="shared" si="6"/>
        <v>12147</v>
      </c>
      <c r="L16" s="153">
        <f t="shared" si="6"/>
        <v>6569</v>
      </c>
      <c r="M16" s="153">
        <f t="shared" si="6"/>
        <v>-8201</v>
      </c>
      <c r="N16" s="153">
        <f t="shared" si="6"/>
        <v>-1309</v>
      </c>
      <c r="O16" s="48"/>
    </row>
    <row r="17" spans="1:15" ht="15.95" thickBot="1">
      <c r="A17" s="49"/>
      <c r="B17" s="155" t="s">
        <v>199</v>
      </c>
      <c r="C17" s="154">
        <f>IFERROR(C16/C12,"-")</f>
        <v>0.79705283335330057</v>
      </c>
      <c r="D17" s="154">
        <f t="shared" ref="D17:N17" si="7">IFERROR(D16/D12,"-")</f>
        <v>0.96110475567903253</v>
      </c>
      <c r="E17" s="154">
        <f t="shared" si="7"/>
        <v>-0.14022869916602185</v>
      </c>
      <c r="F17" s="154">
        <f t="shared" si="7"/>
        <v>-0.29867625142456389</v>
      </c>
      <c r="G17" s="154">
        <f t="shared" si="7"/>
        <v>-0.19311457772996235</v>
      </c>
      <c r="H17" s="154">
        <f t="shared" si="7"/>
        <v>-0.75204562360525662</v>
      </c>
      <c r="I17" s="154">
        <f t="shared" si="7"/>
        <v>-0.39939939939939939</v>
      </c>
      <c r="J17" s="154">
        <f t="shared" si="7"/>
        <v>-2.1606313834726092</v>
      </c>
      <c r="K17" s="154">
        <f t="shared" si="7"/>
        <v>-5.6576618537494179</v>
      </c>
      <c r="L17" s="154">
        <f t="shared" si="7"/>
        <v>4.5904961565338924</v>
      </c>
      <c r="M17" s="154">
        <f t="shared" si="7"/>
        <v>-0.50620332078266772</v>
      </c>
      <c r="N17" s="154">
        <f t="shared" si="7"/>
        <v>-0.11574851887876912</v>
      </c>
      <c r="O17" s="50"/>
    </row>
    <row r="18" spans="1:15">
      <c r="A18" s="39" t="s">
        <v>93</v>
      </c>
      <c r="B18" s="40" t="s">
        <v>194</v>
      </c>
      <c r="C18" s="41">
        <f>'Forecast Input'!D52</f>
        <v>-9.9838179999999994</v>
      </c>
      <c r="D18" s="41">
        <f>'Forecast Input'!E52</f>
        <v>14220.312282000001</v>
      </c>
      <c r="E18" s="41">
        <f>'Forecast Input'!F52</f>
        <v>9727.5139679999993</v>
      </c>
      <c r="F18" s="41">
        <f>'Forecast Input'!G52</f>
        <v>0</v>
      </c>
      <c r="G18" s="41">
        <f>'Forecast Input'!H52</f>
        <v>0</v>
      </c>
      <c r="H18" s="41">
        <f>'Forecast Input'!I52</f>
        <v>0</v>
      </c>
      <c r="I18" s="41">
        <f>'Forecast Input'!J52</f>
        <v>0</v>
      </c>
      <c r="J18" s="41">
        <f>'Forecast Input'!K52</f>
        <v>0</v>
      </c>
      <c r="K18" s="41">
        <f>'Forecast Input'!L52</f>
        <v>0</v>
      </c>
      <c r="L18" s="41">
        <f>'Forecast Input'!M52</f>
        <v>0</v>
      </c>
      <c r="M18" s="41">
        <f>'Forecast Input'!N52</f>
        <v>0</v>
      </c>
      <c r="N18" s="41">
        <f>'Forecast Input'!O52</f>
        <v>0</v>
      </c>
      <c r="O18" s="42">
        <f>SUM(C18:N18)</f>
        <v>23937.842431999998</v>
      </c>
    </row>
    <row r="19" spans="1:15">
      <c r="A19" s="43"/>
      <c r="B19" s="33" t="s">
        <v>23</v>
      </c>
      <c r="C19" s="22">
        <v>29632</v>
      </c>
      <c r="D19" s="22">
        <v>38576</v>
      </c>
      <c r="E19" s="22">
        <v>-3469</v>
      </c>
      <c r="F19" s="22">
        <v>12101</v>
      </c>
      <c r="G19" s="22">
        <v>7921</v>
      </c>
      <c r="H19" s="22">
        <v>3012</v>
      </c>
      <c r="I19" s="22">
        <v>8772</v>
      </c>
      <c r="J19" s="22">
        <v>8463</v>
      </c>
      <c r="K19" s="22">
        <v>13515</v>
      </c>
      <c r="L19" s="22">
        <v>18456</v>
      </c>
      <c r="M19" s="22">
        <v>39401</v>
      </c>
      <c r="N19" s="22">
        <v>112948</v>
      </c>
      <c r="O19" s="44">
        <f>SUM(C19:N19)</f>
        <v>289328</v>
      </c>
    </row>
    <row r="20" spans="1:15">
      <c r="A20" s="45"/>
      <c r="B20" s="34" t="s">
        <v>160</v>
      </c>
      <c r="C20" s="17">
        <f>'Forecast Input'!D53</f>
        <v>20000</v>
      </c>
      <c r="D20" s="17">
        <f>'Forecast Input'!E53</f>
        <v>5000</v>
      </c>
      <c r="E20" s="17">
        <f>'Forecast Input'!F53</f>
        <v>5000</v>
      </c>
      <c r="F20" s="17">
        <f>'Forecast Input'!G53</f>
        <v>2000</v>
      </c>
      <c r="G20" s="17">
        <f>'Forecast Input'!H53</f>
        <v>1000</v>
      </c>
      <c r="H20" s="17">
        <f>'Forecast Input'!I53</f>
        <v>1000</v>
      </c>
      <c r="I20" s="17">
        <f>'Forecast Input'!J53</f>
        <v>1000</v>
      </c>
      <c r="J20" s="17">
        <f>'Forecast Input'!K53</f>
        <v>5000</v>
      </c>
      <c r="K20" s="17">
        <f>'Forecast Input'!L53</f>
        <v>15000</v>
      </c>
      <c r="L20" s="17">
        <f>'Forecast Input'!M53</f>
        <v>10000</v>
      </c>
      <c r="M20" s="17">
        <f>'Forecast Input'!N53</f>
        <v>10000</v>
      </c>
      <c r="N20" s="17">
        <f>'Forecast Input'!O53</f>
        <v>15000</v>
      </c>
      <c r="O20" s="46">
        <f>SUM(C20:N20)</f>
        <v>90000</v>
      </c>
    </row>
    <row r="21" spans="1:15">
      <c r="A21" s="47"/>
      <c r="B21" s="86" t="s">
        <v>196</v>
      </c>
      <c r="C21" s="153">
        <f>IF(C18=0,"-",C18-C20)</f>
        <v>-20009.983818000001</v>
      </c>
      <c r="D21" s="153">
        <f t="shared" ref="D21:N21" si="8">IF(D18=0,"-",D18-D20)</f>
        <v>9220.3122820000008</v>
      </c>
      <c r="E21" s="153">
        <f t="shared" si="8"/>
        <v>4727.5139679999993</v>
      </c>
      <c r="F21" s="153" t="str">
        <f t="shared" si="8"/>
        <v>-</v>
      </c>
      <c r="G21" s="153" t="str">
        <f t="shared" si="8"/>
        <v>-</v>
      </c>
      <c r="H21" s="153" t="str">
        <f t="shared" si="8"/>
        <v>-</v>
      </c>
      <c r="I21" s="153" t="str">
        <f t="shared" si="8"/>
        <v>-</v>
      </c>
      <c r="J21" s="153" t="str">
        <f t="shared" si="8"/>
        <v>-</v>
      </c>
      <c r="K21" s="153" t="str">
        <f t="shared" si="8"/>
        <v>-</v>
      </c>
      <c r="L21" s="153" t="str">
        <f t="shared" si="8"/>
        <v>-</v>
      </c>
      <c r="M21" s="153" t="str">
        <f t="shared" si="8"/>
        <v>-</v>
      </c>
      <c r="N21" s="153" t="str">
        <f t="shared" si="8"/>
        <v>-</v>
      </c>
      <c r="O21" s="48"/>
    </row>
    <row r="22" spans="1:15">
      <c r="A22" s="47"/>
      <c r="B22" s="86" t="s">
        <v>197</v>
      </c>
      <c r="C22" s="154">
        <f>IFERROR(C21/C18,"-")</f>
        <v>2004.2416456309602</v>
      </c>
      <c r="D22" s="154">
        <f t="shared" ref="D22:N22" si="9">IFERROR(D21/D18,"-")</f>
        <v>0.64839028139143084</v>
      </c>
      <c r="E22" s="154">
        <f t="shared" si="9"/>
        <v>0.48599405598920847</v>
      </c>
      <c r="F22" s="154" t="str">
        <f t="shared" si="9"/>
        <v>-</v>
      </c>
      <c r="G22" s="154" t="str">
        <f t="shared" si="9"/>
        <v>-</v>
      </c>
      <c r="H22" s="154" t="str">
        <f t="shared" si="9"/>
        <v>-</v>
      </c>
      <c r="I22" s="154" t="str">
        <f t="shared" si="9"/>
        <v>-</v>
      </c>
      <c r="J22" s="154" t="str">
        <f t="shared" si="9"/>
        <v>-</v>
      </c>
      <c r="K22" s="154" t="str">
        <f t="shared" si="9"/>
        <v>-</v>
      </c>
      <c r="L22" s="154" t="str">
        <f t="shared" si="9"/>
        <v>-</v>
      </c>
      <c r="M22" s="154" t="str">
        <f t="shared" si="9"/>
        <v>-</v>
      </c>
      <c r="N22" s="154" t="str">
        <f t="shared" si="9"/>
        <v>-</v>
      </c>
      <c r="O22" s="48"/>
    </row>
    <row r="23" spans="1:15">
      <c r="A23" s="47"/>
      <c r="B23" s="86" t="s">
        <v>198</v>
      </c>
      <c r="C23" s="153">
        <f t="shared" ref="C23:N23" si="10">IFERROR(C20-C19,"-")</f>
        <v>-9632</v>
      </c>
      <c r="D23" s="153">
        <f t="shared" si="10"/>
        <v>-33576</v>
      </c>
      <c r="E23" s="153">
        <f t="shared" si="10"/>
        <v>8469</v>
      </c>
      <c r="F23" s="153">
        <f t="shared" si="10"/>
        <v>-10101</v>
      </c>
      <c r="G23" s="153">
        <f t="shared" si="10"/>
        <v>-6921</v>
      </c>
      <c r="H23" s="153">
        <f t="shared" si="10"/>
        <v>-2012</v>
      </c>
      <c r="I23" s="153">
        <f t="shared" si="10"/>
        <v>-7772</v>
      </c>
      <c r="J23" s="153">
        <f t="shared" si="10"/>
        <v>-3463</v>
      </c>
      <c r="K23" s="153">
        <f t="shared" si="10"/>
        <v>1485</v>
      </c>
      <c r="L23" s="153">
        <f t="shared" si="10"/>
        <v>-8456</v>
      </c>
      <c r="M23" s="153">
        <f t="shared" si="10"/>
        <v>-29401</v>
      </c>
      <c r="N23" s="153">
        <f t="shared" si="10"/>
        <v>-97948</v>
      </c>
      <c r="O23" s="48"/>
    </row>
    <row r="24" spans="1:15" ht="15.95" thickBot="1">
      <c r="A24" s="49"/>
      <c r="B24" s="155" t="s">
        <v>199</v>
      </c>
      <c r="C24" s="154">
        <f>IFERROR(C23/C19,"-")</f>
        <v>-0.3250539956803456</v>
      </c>
      <c r="D24" s="154">
        <f t="shared" ref="D24:N24" si="11">IFERROR(D23/D19,"-")</f>
        <v>-0.87038573206138536</v>
      </c>
      <c r="E24" s="154">
        <f t="shared" si="11"/>
        <v>-2.4413375612568462</v>
      </c>
      <c r="F24" s="154">
        <f t="shared" si="11"/>
        <v>-0.83472440294190564</v>
      </c>
      <c r="G24" s="154">
        <f t="shared" si="11"/>
        <v>-0.87375331397550815</v>
      </c>
      <c r="H24" s="154">
        <f t="shared" si="11"/>
        <v>-0.6679946879150066</v>
      </c>
      <c r="I24" s="154">
        <f t="shared" si="11"/>
        <v>-0.88600091199270403</v>
      </c>
      <c r="J24" s="154">
        <f t="shared" si="11"/>
        <v>-0.40919295758005436</v>
      </c>
      <c r="K24" s="154">
        <f t="shared" si="11"/>
        <v>0.10987791342952276</v>
      </c>
      <c r="L24" s="154">
        <f t="shared" si="11"/>
        <v>-0.45817078456870397</v>
      </c>
      <c r="M24" s="154">
        <f t="shared" si="11"/>
        <v>-0.74619933504225777</v>
      </c>
      <c r="N24" s="154">
        <f t="shared" si="11"/>
        <v>-0.86719552360378227</v>
      </c>
      <c r="O24" s="50"/>
    </row>
    <row r="25" spans="1:15">
      <c r="A25" s="39" t="s">
        <v>94</v>
      </c>
      <c r="B25" s="40" t="s">
        <v>194</v>
      </c>
      <c r="C25" s="41">
        <f>'Forecast Input'!D54</f>
        <v>4945.2444770000002</v>
      </c>
      <c r="D25" s="41">
        <f>'Forecast Input'!E54</f>
        <v>2880.0742519999999</v>
      </c>
      <c r="E25" s="41">
        <f>'Forecast Input'!F54</f>
        <v>8564.9447789999995</v>
      </c>
      <c r="F25" s="41">
        <f>'Forecast Input'!G54</f>
        <v>0</v>
      </c>
      <c r="G25" s="41">
        <f>'Forecast Input'!H54</f>
        <v>0</v>
      </c>
      <c r="H25" s="41">
        <f>'Forecast Input'!I54</f>
        <v>0</v>
      </c>
      <c r="I25" s="41">
        <f>'Forecast Input'!J54</f>
        <v>0</v>
      </c>
      <c r="J25" s="41">
        <f>'Forecast Input'!K54</f>
        <v>0</v>
      </c>
      <c r="K25" s="41">
        <f>'Forecast Input'!L54</f>
        <v>0</v>
      </c>
      <c r="L25" s="41">
        <f>'Forecast Input'!M54</f>
        <v>0</v>
      </c>
      <c r="M25" s="41">
        <f>'Forecast Input'!N54</f>
        <v>0</v>
      </c>
      <c r="N25" s="41">
        <f>'Forecast Input'!O54</f>
        <v>0</v>
      </c>
      <c r="O25" s="42">
        <f>SUM(C25:N25)</f>
        <v>16390.263508</v>
      </c>
    </row>
    <row r="26" spans="1:15">
      <c r="A26" s="43"/>
      <c r="B26" s="33" t="s">
        <v>23</v>
      </c>
      <c r="C26" s="22">
        <v>12393</v>
      </c>
      <c r="D26" s="22">
        <v>13647</v>
      </c>
      <c r="E26" s="22">
        <v>3500</v>
      </c>
      <c r="F26" s="22">
        <v>4685</v>
      </c>
      <c r="G26" s="22">
        <v>10614</v>
      </c>
      <c r="H26" s="22">
        <v>7328</v>
      </c>
      <c r="I26" s="22">
        <v>7509</v>
      </c>
      <c r="J26" s="22">
        <v>16516</v>
      </c>
      <c r="K26" s="22">
        <v>11589</v>
      </c>
      <c r="L26" s="22">
        <v>9730</v>
      </c>
      <c r="M26" s="22">
        <v>4398</v>
      </c>
      <c r="N26" s="22">
        <v>9978</v>
      </c>
      <c r="O26" s="44">
        <f>SUM(C26:N26)</f>
        <v>111887</v>
      </c>
    </row>
    <row r="27" spans="1:15">
      <c r="A27" s="45"/>
      <c r="B27" s="34" t="s">
        <v>160</v>
      </c>
      <c r="C27" s="17">
        <f>'Forecast Input'!D55</f>
        <v>10000</v>
      </c>
      <c r="D27" s="17">
        <f>'Forecast Input'!E55</f>
        <v>5000</v>
      </c>
      <c r="E27" s="17">
        <f>'Forecast Input'!F55</f>
        <v>5000</v>
      </c>
      <c r="F27" s="17">
        <f>'Forecast Input'!G55</f>
        <v>2000</v>
      </c>
      <c r="G27" s="17">
        <f>'Forecast Input'!H55</f>
        <v>1000</v>
      </c>
      <c r="H27" s="17">
        <f>'Forecast Input'!I55</f>
        <v>1000</v>
      </c>
      <c r="I27" s="17">
        <f>'Forecast Input'!J55</f>
        <v>1000</v>
      </c>
      <c r="J27" s="17">
        <f>'Forecast Input'!K55</f>
        <v>3000</v>
      </c>
      <c r="K27" s="17">
        <f>'Forecast Input'!L55</f>
        <v>10000</v>
      </c>
      <c r="L27" s="17">
        <f>'Forecast Input'!M55</f>
        <v>8000</v>
      </c>
      <c r="M27" s="17">
        <f>'Forecast Input'!N55</f>
        <v>8000</v>
      </c>
      <c r="N27" s="17">
        <f>'Forecast Input'!O55</f>
        <v>10000</v>
      </c>
      <c r="O27" s="46">
        <f>SUM(C27:N27)</f>
        <v>64000</v>
      </c>
    </row>
    <row r="28" spans="1:15">
      <c r="A28" s="47"/>
      <c r="B28" s="86" t="s">
        <v>196</v>
      </c>
      <c r="C28" s="153">
        <f>IF(C25=0,"-",C25-C27)</f>
        <v>-5054.7555229999998</v>
      </c>
      <c r="D28" s="153">
        <f t="shared" ref="D28:N28" si="12">IF(D25=0,"-",D25-D27)</f>
        <v>-2119.9257480000001</v>
      </c>
      <c r="E28" s="153">
        <f t="shared" si="12"/>
        <v>3564.9447789999995</v>
      </c>
      <c r="F28" s="153" t="str">
        <f t="shared" si="12"/>
        <v>-</v>
      </c>
      <c r="G28" s="153" t="str">
        <f t="shared" si="12"/>
        <v>-</v>
      </c>
      <c r="H28" s="153" t="str">
        <f t="shared" si="12"/>
        <v>-</v>
      </c>
      <c r="I28" s="153" t="str">
        <f t="shared" si="12"/>
        <v>-</v>
      </c>
      <c r="J28" s="153" t="str">
        <f t="shared" si="12"/>
        <v>-</v>
      </c>
      <c r="K28" s="153" t="str">
        <f t="shared" si="12"/>
        <v>-</v>
      </c>
      <c r="L28" s="153" t="str">
        <f t="shared" si="12"/>
        <v>-</v>
      </c>
      <c r="M28" s="153" t="str">
        <f t="shared" si="12"/>
        <v>-</v>
      </c>
      <c r="N28" s="153" t="str">
        <f t="shared" si="12"/>
        <v>-</v>
      </c>
      <c r="O28" s="48"/>
    </row>
    <row r="29" spans="1:15">
      <c r="A29" s="47"/>
      <c r="B29" s="86">
        <f>IFERROR(IF(Local!C4=0,Local!C4,Local!C6),Local!C6)</f>
        <v>20000</v>
      </c>
      <c r="C29" s="154">
        <f>IFERROR(C28/C25,"-")</f>
        <v>-1.0221447183267336</v>
      </c>
      <c r="D29" s="154">
        <f t="shared" ref="D29:N29" si="13">IFERROR(D28/D25,"-")</f>
        <v>-0.73606635194487346</v>
      </c>
      <c r="E29" s="154">
        <f t="shared" si="13"/>
        <v>0.41622507453179691</v>
      </c>
      <c r="F29" s="154" t="str">
        <f t="shared" si="13"/>
        <v>-</v>
      </c>
      <c r="G29" s="154" t="str">
        <f t="shared" si="13"/>
        <v>-</v>
      </c>
      <c r="H29" s="154" t="str">
        <f t="shared" si="13"/>
        <v>-</v>
      </c>
      <c r="I29" s="154" t="str">
        <f t="shared" si="13"/>
        <v>-</v>
      </c>
      <c r="J29" s="154" t="str">
        <f t="shared" si="13"/>
        <v>-</v>
      </c>
      <c r="K29" s="154" t="str">
        <f t="shared" si="13"/>
        <v>-</v>
      </c>
      <c r="L29" s="154" t="str">
        <f t="shared" si="13"/>
        <v>-</v>
      </c>
      <c r="M29" s="154" t="str">
        <f t="shared" si="13"/>
        <v>-</v>
      </c>
      <c r="N29" s="154" t="str">
        <f t="shared" si="13"/>
        <v>-</v>
      </c>
      <c r="O29" s="48"/>
    </row>
    <row r="30" spans="1:15">
      <c r="A30" s="47"/>
      <c r="B30" s="86" t="s">
        <v>198</v>
      </c>
      <c r="C30" s="153">
        <f t="shared" ref="C30:N30" si="14">IFERROR(C27-C26,"-")</f>
        <v>-2393</v>
      </c>
      <c r="D30" s="153">
        <f t="shared" si="14"/>
        <v>-8647</v>
      </c>
      <c r="E30" s="153">
        <f t="shared" si="14"/>
        <v>1500</v>
      </c>
      <c r="F30" s="153">
        <f t="shared" si="14"/>
        <v>-2685</v>
      </c>
      <c r="G30" s="153">
        <f t="shared" si="14"/>
        <v>-9614</v>
      </c>
      <c r="H30" s="153">
        <f t="shared" si="14"/>
        <v>-6328</v>
      </c>
      <c r="I30" s="153">
        <f t="shared" si="14"/>
        <v>-6509</v>
      </c>
      <c r="J30" s="153">
        <f t="shared" si="14"/>
        <v>-13516</v>
      </c>
      <c r="K30" s="153">
        <f t="shared" si="14"/>
        <v>-1589</v>
      </c>
      <c r="L30" s="153">
        <f t="shared" si="14"/>
        <v>-1730</v>
      </c>
      <c r="M30" s="153">
        <f t="shared" si="14"/>
        <v>3602</v>
      </c>
      <c r="N30" s="153">
        <f t="shared" si="14"/>
        <v>22</v>
      </c>
      <c r="O30" s="48"/>
    </row>
    <row r="31" spans="1:15" ht="15.95" thickBot="1">
      <c r="A31" s="49"/>
      <c r="B31" s="155" t="s">
        <v>199</v>
      </c>
      <c r="C31" s="154">
        <f>IFERROR(C30/C26,"-")</f>
        <v>-0.19309287501008635</v>
      </c>
      <c r="D31" s="154">
        <f t="shared" ref="D31:N31" si="15">IFERROR(D30/D26,"-")</f>
        <v>-0.63361911042720009</v>
      </c>
      <c r="E31" s="154">
        <f t="shared" si="15"/>
        <v>0.42857142857142855</v>
      </c>
      <c r="F31" s="154">
        <f t="shared" si="15"/>
        <v>-0.57310565635005339</v>
      </c>
      <c r="G31" s="154">
        <f t="shared" si="15"/>
        <v>-0.90578481251177689</v>
      </c>
      <c r="H31" s="154">
        <f t="shared" si="15"/>
        <v>-0.86353711790393017</v>
      </c>
      <c r="I31" s="154">
        <f t="shared" si="15"/>
        <v>-0.86682647489679054</v>
      </c>
      <c r="J31" s="154">
        <f t="shared" si="15"/>
        <v>-0.8183579559215306</v>
      </c>
      <c r="K31" s="154">
        <f t="shared" si="15"/>
        <v>-0.13711277935973767</v>
      </c>
      <c r="L31" s="154">
        <f t="shared" si="15"/>
        <v>-0.1778006166495375</v>
      </c>
      <c r="M31" s="154">
        <f t="shared" si="15"/>
        <v>0.81900864029104137</v>
      </c>
      <c r="N31" s="154">
        <f t="shared" si="15"/>
        <v>2.2048506714772501E-3</v>
      </c>
      <c r="O31" s="50"/>
    </row>
    <row r="32" spans="1:15">
      <c r="A32" s="39" t="s">
        <v>95</v>
      </c>
      <c r="B32" s="40" t="s">
        <v>194</v>
      </c>
      <c r="C32" s="41">
        <f>'Forecast Input'!D56</f>
        <v>2176.9329889999999</v>
      </c>
      <c r="D32" s="41">
        <f>'Forecast Input'!E56</f>
        <v>1425.0821780000001</v>
      </c>
      <c r="E32" s="41">
        <f>'Forecast Input'!F56</f>
        <v>3628.2568569999999</v>
      </c>
      <c r="F32" s="41">
        <f>'Forecast Input'!G56</f>
        <v>0</v>
      </c>
      <c r="G32" s="41">
        <f>'Forecast Input'!H56</f>
        <v>0</v>
      </c>
      <c r="H32" s="41">
        <f>'Forecast Input'!I56</f>
        <v>0</v>
      </c>
      <c r="I32" s="41">
        <f>'Forecast Input'!J56</f>
        <v>0</v>
      </c>
      <c r="J32" s="41">
        <f>'Forecast Input'!K56</f>
        <v>0</v>
      </c>
      <c r="K32" s="41">
        <f>'Forecast Input'!L56</f>
        <v>0</v>
      </c>
      <c r="L32" s="41">
        <f>'Forecast Input'!M56</f>
        <v>0</v>
      </c>
      <c r="M32" s="41">
        <f>'Forecast Input'!N56</f>
        <v>0</v>
      </c>
      <c r="N32" s="41">
        <f>'Forecast Input'!O56</f>
        <v>0</v>
      </c>
      <c r="O32" s="42">
        <f>SUM(C32:N32)</f>
        <v>7230.2720239999999</v>
      </c>
    </row>
    <row r="33" spans="1:15">
      <c r="A33" s="43"/>
      <c r="B33" s="33" t="s">
        <v>23</v>
      </c>
      <c r="C33" s="22">
        <v>4304</v>
      </c>
      <c r="D33" s="22">
        <v>10330</v>
      </c>
      <c r="E33" s="22">
        <v>5596</v>
      </c>
      <c r="F33" s="22">
        <v>5224</v>
      </c>
      <c r="G33" s="22">
        <v>9752</v>
      </c>
      <c r="H33" s="22">
        <v>1949</v>
      </c>
      <c r="I33" s="22">
        <v>7827</v>
      </c>
      <c r="J33" s="22">
        <v>3555</v>
      </c>
      <c r="K33" s="22">
        <v>5693</v>
      </c>
      <c r="L33" s="22">
        <v>1686</v>
      </c>
      <c r="M33" s="22">
        <v>19135</v>
      </c>
      <c r="N33" s="22">
        <v>10698</v>
      </c>
      <c r="O33" s="44">
        <f>SUM(C33:N33)</f>
        <v>85749</v>
      </c>
    </row>
    <row r="34" spans="1:15">
      <c r="A34" s="45"/>
      <c r="B34" s="34" t="s">
        <v>160</v>
      </c>
      <c r="C34" s="17">
        <f>'Forecast Input'!D57</f>
        <v>5000</v>
      </c>
      <c r="D34" s="17">
        <f>'Forecast Input'!E57</f>
        <v>3000</v>
      </c>
      <c r="E34" s="17">
        <f>'Forecast Input'!F57</f>
        <v>3000</v>
      </c>
      <c r="F34" s="17">
        <f>'Forecast Input'!G57</f>
        <v>2000</v>
      </c>
      <c r="G34" s="17">
        <f>'Forecast Input'!H57</f>
        <v>1000</v>
      </c>
      <c r="H34" s="17">
        <f>'Forecast Input'!I57</f>
        <v>1000</v>
      </c>
      <c r="I34" s="17">
        <f>'Forecast Input'!J57</f>
        <v>1000</v>
      </c>
      <c r="J34" s="17">
        <f>'Forecast Input'!K57</f>
        <v>3000</v>
      </c>
      <c r="K34" s="17">
        <f>'Forecast Input'!L57</f>
        <v>5000</v>
      </c>
      <c r="L34" s="17">
        <f>'Forecast Input'!M57</f>
        <v>4000</v>
      </c>
      <c r="M34" s="17">
        <f>'Forecast Input'!N57</f>
        <v>4000</v>
      </c>
      <c r="N34" s="17">
        <f>'Forecast Input'!O57</f>
        <v>5000</v>
      </c>
      <c r="O34" s="46">
        <f>SUM(C34:N34)</f>
        <v>37000</v>
      </c>
    </row>
    <row r="35" spans="1:15">
      <c r="A35" s="47"/>
      <c r="B35" s="86" t="s">
        <v>196</v>
      </c>
      <c r="C35" s="153">
        <f>IF(C32=0,"-",C32-C34)</f>
        <v>-2823.0670110000001</v>
      </c>
      <c r="D35" s="153">
        <f t="shared" ref="D35:N35" si="16">IF(D32=0,"-",D32-D34)</f>
        <v>-1574.9178219999999</v>
      </c>
      <c r="E35" s="153">
        <f t="shared" si="16"/>
        <v>628.25685699999985</v>
      </c>
      <c r="F35" s="153" t="str">
        <f t="shared" si="16"/>
        <v>-</v>
      </c>
      <c r="G35" s="153" t="str">
        <f t="shared" si="16"/>
        <v>-</v>
      </c>
      <c r="H35" s="153" t="str">
        <f t="shared" si="16"/>
        <v>-</v>
      </c>
      <c r="I35" s="153" t="str">
        <f t="shared" si="16"/>
        <v>-</v>
      </c>
      <c r="J35" s="153" t="str">
        <f t="shared" si="16"/>
        <v>-</v>
      </c>
      <c r="K35" s="153" t="str">
        <f t="shared" si="16"/>
        <v>-</v>
      </c>
      <c r="L35" s="153" t="str">
        <f t="shared" si="16"/>
        <v>-</v>
      </c>
      <c r="M35" s="153" t="str">
        <f t="shared" si="16"/>
        <v>-</v>
      </c>
      <c r="N35" s="153" t="str">
        <f t="shared" si="16"/>
        <v>-</v>
      </c>
      <c r="O35" s="48"/>
    </row>
    <row r="36" spans="1:15">
      <c r="A36" s="47"/>
      <c r="B36" s="86" t="s">
        <v>197</v>
      </c>
      <c r="C36" s="154">
        <f>IFERROR(C35/C32,"-")</f>
        <v>-1.2968093300367549</v>
      </c>
      <c r="D36" s="154">
        <f t="shared" ref="D36:N36" si="17">IFERROR(D35/D32,"-")</f>
        <v>-1.1051417569548749</v>
      </c>
      <c r="E36" s="154">
        <f t="shared" si="17"/>
        <v>0.17315666496651227</v>
      </c>
      <c r="F36" s="154" t="str">
        <f t="shared" si="17"/>
        <v>-</v>
      </c>
      <c r="G36" s="154" t="str">
        <f t="shared" si="17"/>
        <v>-</v>
      </c>
      <c r="H36" s="154" t="str">
        <f t="shared" si="17"/>
        <v>-</v>
      </c>
      <c r="I36" s="154" t="str">
        <f t="shared" si="17"/>
        <v>-</v>
      </c>
      <c r="J36" s="154" t="str">
        <f t="shared" si="17"/>
        <v>-</v>
      </c>
      <c r="K36" s="154" t="str">
        <f t="shared" si="17"/>
        <v>-</v>
      </c>
      <c r="L36" s="154" t="str">
        <f t="shared" si="17"/>
        <v>-</v>
      </c>
      <c r="M36" s="154" t="str">
        <f t="shared" si="17"/>
        <v>-</v>
      </c>
      <c r="N36" s="154" t="str">
        <f t="shared" si="17"/>
        <v>-</v>
      </c>
      <c r="O36" s="48"/>
    </row>
    <row r="37" spans="1:15">
      <c r="A37" s="47"/>
      <c r="B37" s="86" t="s">
        <v>198</v>
      </c>
      <c r="C37" s="153">
        <f t="shared" ref="C37:N37" si="18">IFERROR(C34-C33,"-")</f>
        <v>696</v>
      </c>
      <c r="D37" s="153">
        <f t="shared" si="18"/>
        <v>-7330</v>
      </c>
      <c r="E37" s="153">
        <f t="shared" si="18"/>
        <v>-2596</v>
      </c>
      <c r="F37" s="153">
        <f t="shared" si="18"/>
        <v>-3224</v>
      </c>
      <c r="G37" s="153">
        <f t="shared" si="18"/>
        <v>-8752</v>
      </c>
      <c r="H37" s="153">
        <f t="shared" si="18"/>
        <v>-949</v>
      </c>
      <c r="I37" s="153">
        <f t="shared" si="18"/>
        <v>-6827</v>
      </c>
      <c r="J37" s="153">
        <f t="shared" si="18"/>
        <v>-555</v>
      </c>
      <c r="K37" s="153">
        <f t="shared" si="18"/>
        <v>-693</v>
      </c>
      <c r="L37" s="153">
        <f t="shared" si="18"/>
        <v>2314</v>
      </c>
      <c r="M37" s="153">
        <f t="shared" si="18"/>
        <v>-15135</v>
      </c>
      <c r="N37" s="153">
        <f t="shared" si="18"/>
        <v>-5698</v>
      </c>
      <c r="O37" s="48"/>
    </row>
    <row r="38" spans="1:15" ht="15.95" thickBot="1">
      <c r="A38" s="49"/>
      <c r="B38" s="155" t="s">
        <v>199</v>
      </c>
      <c r="C38" s="154">
        <f>IFERROR(C37/C33,"-")</f>
        <v>0.16171003717472118</v>
      </c>
      <c r="D38" s="154">
        <f t="shared" ref="D38:N38" si="19">IFERROR(D37/D33,"-")</f>
        <v>-0.70958373668925456</v>
      </c>
      <c r="E38" s="154">
        <f t="shared" si="19"/>
        <v>-0.46390278770550392</v>
      </c>
      <c r="F38" s="154">
        <f t="shared" si="19"/>
        <v>-0.61715160796324653</v>
      </c>
      <c r="G38" s="154">
        <f t="shared" si="19"/>
        <v>-0.89745693191140274</v>
      </c>
      <c r="H38" s="154">
        <f t="shared" si="19"/>
        <v>-0.48691636736788096</v>
      </c>
      <c r="I38" s="154">
        <f t="shared" si="19"/>
        <v>-0.87223712789063501</v>
      </c>
      <c r="J38" s="154">
        <f t="shared" si="19"/>
        <v>-0.15611814345991562</v>
      </c>
      <c r="K38" s="154">
        <f t="shared" si="19"/>
        <v>-0.12172843843316354</v>
      </c>
      <c r="L38" s="154">
        <f t="shared" si="19"/>
        <v>1.3724792408066429</v>
      </c>
      <c r="M38" s="154">
        <f t="shared" si="19"/>
        <v>-0.79095897569898088</v>
      </c>
      <c r="N38" s="154">
        <f t="shared" si="19"/>
        <v>-0.53262292017199475</v>
      </c>
      <c r="O38" s="50"/>
    </row>
    <row r="39" spans="1:15">
      <c r="A39" s="39" t="s">
        <v>96</v>
      </c>
      <c r="B39" s="40" t="s">
        <v>194</v>
      </c>
      <c r="C39" s="41">
        <f>'Forecast Input'!D58</f>
        <v>7974.6973989999997</v>
      </c>
      <c r="D39" s="41">
        <f>'Forecast Input'!E58</f>
        <v>6956.5643730000002</v>
      </c>
      <c r="E39" s="41">
        <f>'Forecast Input'!F58</f>
        <v>2045.0664320000001</v>
      </c>
      <c r="F39" s="41">
        <f>'Forecast Input'!G58</f>
        <v>0</v>
      </c>
      <c r="G39" s="41">
        <f>'Forecast Input'!H58</f>
        <v>0</v>
      </c>
      <c r="H39" s="41">
        <f>'Forecast Input'!I58</f>
        <v>0</v>
      </c>
      <c r="I39" s="41">
        <f>'Forecast Input'!J58</f>
        <v>0</v>
      </c>
      <c r="J39" s="41">
        <f>'Forecast Input'!K58</f>
        <v>0</v>
      </c>
      <c r="K39" s="41">
        <f>'Forecast Input'!L58</f>
        <v>0</v>
      </c>
      <c r="L39" s="41">
        <f>'Forecast Input'!M58</f>
        <v>0</v>
      </c>
      <c r="M39" s="41">
        <f>'Forecast Input'!N58</f>
        <v>0</v>
      </c>
      <c r="N39" s="41">
        <f>'Forecast Input'!O58</f>
        <v>0</v>
      </c>
      <c r="O39" s="42">
        <f>SUM(C39:N39)</f>
        <v>16976.328204000001</v>
      </c>
    </row>
    <row r="40" spans="1:15">
      <c r="A40" s="43"/>
      <c r="B40" s="33" t="s">
        <v>23</v>
      </c>
      <c r="C40" s="22">
        <v>9949</v>
      </c>
      <c r="D40" s="22">
        <v>12310</v>
      </c>
      <c r="E40" s="22">
        <v>16264</v>
      </c>
      <c r="F40" s="22">
        <v>9129</v>
      </c>
      <c r="G40" s="22">
        <v>13298</v>
      </c>
      <c r="H40" s="22">
        <v>9341</v>
      </c>
      <c r="I40" s="22">
        <v>7608</v>
      </c>
      <c r="J40" s="22">
        <v>8090</v>
      </c>
      <c r="K40" s="22">
        <v>15495</v>
      </c>
      <c r="L40" s="22">
        <v>7050</v>
      </c>
      <c r="M40" s="22">
        <v>4883</v>
      </c>
      <c r="N40" s="22">
        <v>7909</v>
      </c>
      <c r="O40" s="44">
        <f>SUM(C40:N40)</f>
        <v>121326</v>
      </c>
    </row>
    <row r="41" spans="1:15">
      <c r="A41" s="45"/>
      <c r="B41" s="34" t="s">
        <v>160</v>
      </c>
      <c r="C41" s="17">
        <f>'Forecast Input'!D59</f>
        <v>15000</v>
      </c>
      <c r="D41" s="17">
        <f>'Forecast Input'!E59</f>
        <v>12000</v>
      </c>
      <c r="E41" s="17">
        <f>'Forecast Input'!F59</f>
        <v>10000</v>
      </c>
      <c r="F41" s="17">
        <f>'Forecast Input'!G59</f>
        <v>8000</v>
      </c>
      <c r="G41" s="17">
        <f>'Forecast Input'!H59</f>
        <v>3000</v>
      </c>
      <c r="H41" s="17">
        <f>'Forecast Input'!I59</f>
        <v>3000</v>
      </c>
      <c r="I41" s="17">
        <f>'Forecast Input'!J59</f>
        <v>3000</v>
      </c>
      <c r="J41" s="17">
        <f>'Forecast Input'!K59</f>
        <v>5000</v>
      </c>
      <c r="K41" s="17">
        <f>'Forecast Input'!L59</f>
        <v>10000</v>
      </c>
      <c r="L41" s="17">
        <f>'Forecast Input'!M59</f>
        <v>8000</v>
      </c>
      <c r="M41" s="17">
        <f>'Forecast Input'!N59</f>
        <v>8000</v>
      </c>
      <c r="N41" s="17">
        <f>'Forecast Input'!O59</f>
        <v>10000</v>
      </c>
      <c r="O41" s="46">
        <f>SUM(C41:N41)</f>
        <v>95000</v>
      </c>
    </row>
    <row r="42" spans="1:15">
      <c r="A42" s="47"/>
      <c r="B42" s="86" t="s">
        <v>196</v>
      </c>
      <c r="C42" s="153">
        <f>IF(C39=0,"-",C39-C41)</f>
        <v>-7025.3026010000003</v>
      </c>
      <c r="D42" s="153">
        <f t="shared" ref="D42:N42" si="20">IF(D39=0,"-",D39-D41)</f>
        <v>-5043.4356269999998</v>
      </c>
      <c r="E42" s="153">
        <f t="shared" si="20"/>
        <v>-7954.9335680000004</v>
      </c>
      <c r="F42" s="153" t="str">
        <f t="shared" si="20"/>
        <v>-</v>
      </c>
      <c r="G42" s="153" t="str">
        <f t="shared" si="20"/>
        <v>-</v>
      </c>
      <c r="H42" s="153" t="str">
        <f t="shared" si="20"/>
        <v>-</v>
      </c>
      <c r="I42" s="153" t="str">
        <f t="shared" si="20"/>
        <v>-</v>
      </c>
      <c r="J42" s="153" t="str">
        <f t="shared" si="20"/>
        <v>-</v>
      </c>
      <c r="K42" s="153" t="str">
        <f t="shared" si="20"/>
        <v>-</v>
      </c>
      <c r="L42" s="153" t="str">
        <f t="shared" si="20"/>
        <v>-</v>
      </c>
      <c r="M42" s="153" t="str">
        <f t="shared" si="20"/>
        <v>-</v>
      </c>
      <c r="N42" s="153" t="str">
        <f t="shared" si="20"/>
        <v>-</v>
      </c>
      <c r="O42" s="48"/>
    </row>
    <row r="43" spans="1:15">
      <c r="A43" s="47"/>
      <c r="B43" s="86" t="s">
        <v>197</v>
      </c>
      <c r="C43" s="154">
        <f>IFERROR(C42/C39,"-")</f>
        <v>-0.88094911311380286</v>
      </c>
      <c r="D43" s="154">
        <f t="shared" ref="D43:N43" si="21">IFERROR(D42/D39,"-")</f>
        <v>-0.72498942819744672</v>
      </c>
      <c r="E43" s="154">
        <f t="shared" si="21"/>
        <v>-3.8898167040081759</v>
      </c>
      <c r="F43" s="154" t="str">
        <f t="shared" si="21"/>
        <v>-</v>
      </c>
      <c r="G43" s="154" t="str">
        <f t="shared" si="21"/>
        <v>-</v>
      </c>
      <c r="H43" s="154" t="str">
        <f t="shared" si="21"/>
        <v>-</v>
      </c>
      <c r="I43" s="154" t="str">
        <f t="shared" si="21"/>
        <v>-</v>
      </c>
      <c r="J43" s="154" t="str">
        <f t="shared" si="21"/>
        <v>-</v>
      </c>
      <c r="K43" s="154" t="str">
        <f t="shared" si="21"/>
        <v>-</v>
      </c>
      <c r="L43" s="154" t="str">
        <f t="shared" si="21"/>
        <v>-</v>
      </c>
      <c r="M43" s="154" t="str">
        <f t="shared" si="21"/>
        <v>-</v>
      </c>
      <c r="N43" s="154" t="str">
        <f t="shared" si="21"/>
        <v>-</v>
      </c>
      <c r="O43" s="48"/>
    </row>
    <row r="44" spans="1:15">
      <c r="A44" s="47"/>
      <c r="B44" s="86" t="s">
        <v>198</v>
      </c>
      <c r="C44" s="153">
        <f t="shared" ref="C44:N44" si="22">IFERROR(C41-C40,"-")</f>
        <v>5051</v>
      </c>
      <c r="D44" s="153">
        <f t="shared" si="22"/>
        <v>-310</v>
      </c>
      <c r="E44" s="153">
        <f t="shared" si="22"/>
        <v>-6264</v>
      </c>
      <c r="F44" s="153">
        <f t="shared" si="22"/>
        <v>-1129</v>
      </c>
      <c r="G44" s="153">
        <f t="shared" si="22"/>
        <v>-10298</v>
      </c>
      <c r="H44" s="153">
        <f t="shared" si="22"/>
        <v>-6341</v>
      </c>
      <c r="I44" s="153">
        <f t="shared" si="22"/>
        <v>-4608</v>
      </c>
      <c r="J44" s="153">
        <f t="shared" si="22"/>
        <v>-3090</v>
      </c>
      <c r="K44" s="153">
        <f t="shared" si="22"/>
        <v>-5495</v>
      </c>
      <c r="L44" s="153">
        <f t="shared" si="22"/>
        <v>950</v>
      </c>
      <c r="M44" s="153">
        <f t="shared" si="22"/>
        <v>3117</v>
      </c>
      <c r="N44" s="153">
        <f t="shared" si="22"/>
        <v>2091</v>
      </c>
      <c r="O44" s="48"/>
    </row>
    <row r="45" spans="1:15" ht="15.95" thickBot="1">
      <c r="A45" s="49"/>
      <c r="B45" s="155" t="s">
        <v>199</v>
      </c>
      <c r="C45" s="154">
        <f>IFERROR(C44/C40,"-")</f>
        <v>0.50768921499648201</v>
      </c>
      <c r="D45" s="154">
        <f t="shared" ref="D45:N45" si="23">IFERROR(D44/D40,"-")</f>
        <v>-2.5182778229082048E-2</v>
      </c>
      <c r="E45" s="154">
        <f t="shared" si="23"/>
        <v>-0.38514510575504179</v>
      </c>
      <c r="F45" s="154">
        <f t="shared" si="23"/>
        <v>-0.12367181509475299</v>
      </c>
      <c r="G45" s="154">
        <f t="shared" si="23"/>
        <v>-0.77440216573920895</v>
      </c>
      <c r="H45" s="154">
        <f t="shared" si="23"/>
        <v>-0.67883524247939198</v>
      </c>
      <c r="I45" s="154">
        <f t="shared" si="23"/>
        <v>-0.60567823343848581</v>
      </c>
      <c r="J45" s="154">
        <f t="shared" si="23"/>
        <v>-0.38195302843016071</v>
      </c>
      <c r="K45" s="154">
        <f t="shared" si="23"/>
        <v>-0.35463052597612132</v>
      </c>
      <c r="L45" s="154">
        <f t="shared" si="23"/>
        <v>0.13475177304964539</v>
      </c>
      <c r="M45" s="154">
        <f t="shared" si="23"/>
        <v>0.63833708785582632</v>
      </c>
      <c r="N45" s="154">
        <f t="shared" si="23"/>
        <v>0.26438234922240483</v>
      </c>
      <c r="O45" s="50"/>
    </row>
    <row r="46" spans="1:15">
      <c r="A46" s="39" t="s">
        <v>97</v>
      </c>
      <c r="B46" s="40" t="s">
        <v>194</v>
      </c>
      <c r="C46" s="41">
        <f>'Forecast Input'!D60</f>
        <v>1911.8060399999999</v>
      </c>
      <c r="D46" s="41">
        <f>'Forecast Input'!E60</f>
        <v>-363.29582299999998</v>
      </c>
      <c r="E46" s="41">
        <f>'Forecast Input'!F60</f>
        <v>2161.5844950000001</v>
      </c>
      <c r="F46" s="41">
        <f>'Forecast Input'!G60</f>
        <v>0</v>
      </c>
      <c r="G46" s="41">
        <f>'Forecast Input'!H60</f>
        <v>0</v>
      </c>
      <c r="H46" s="41">
        <f>'Forecast Input'!I60</f>
        <v>0</v>
      </c>
      <c r="I46" s="41">
        <f>'Forecast Input'!J60</f>
        <v>0</v>
      </c>
      <c r="J46" s="41">
        <f>'Forecast Input'!K60</f>
        <v>0</v>
      </c>
      <c r="K46" s="41">
        <f>'Forecast Input'!L60</f>
        <v>0</v>
      </c>
      <c r="L46" s="41">
        <f>'Forecast Input'!M60</f>
        <v>0</v>
      </c>
      <c r="M46" s="41">
        <f>'Forecast Input'!N60</f>
        <v>0</v>
      </c>
      <c r="N46" s="41">
        <f>'Forecast Input'!O60</f>
        <v>0</v>
      </c>
      <c r="O46" s="42">
        <f>SUM(C46:N46)</f>
        <v>3710.0947120000001</v>
      </c>
    </row>
    <row r="47" spans="1:15">
      <c r="A47" s="43"/>
      <c r="B47" s="33" t="s">
        <v>23</v>
      </c>
      <c r="C47" s="22">
        <v>6638</v>
      </c>
      <c r="D47" s="22">
        <v>2241</v>
      </c>
      <c r="E47" s="22">
        <v>2815</v>
      </c>
      <c r="F47" s="22">
        <v>3024</v>
      </c>
      <c r="G47" s="22">
        <v>1989</v>
      </c>
      <c r="H47" s="22">
        <v>3108</v>
      </c>
      <c r="I47" s="22">
        <v>1121</v>
      </c>
      <c r="J47" s="22">
        <v>1128</v>
      </c>
      <c r="K47" s="22">
        <v>4372</v>
      </c>
      <c r="L47" s="22">
        <v>3778</v>
      </c>
      <c r="M47" s="22">
        <v>1859</v>
      </c>
      <c r="N47" s="22">
        <v>1994</v>
      </c>
      <c r="O47" s="44">
        <f>SUM(C47:N47)</f>
        <v>34067</v>
      </c>
    </row>
    <row r="48" spans="1:15">
      <c r="A48" s="45"/>
      <c r="B48" s="34" t="s">
        <v>160</v>
      </c>
      <c r="C48" s="17">
        <f>'Forecast Input'!D61</f>
        <v>5000</v>
      </c>
      <c r="D48" s="17">
        <f>'Forecast Input'!E61</f>
        <v>3000</v>
      </c>
      <c r="E48" s="17">
        <f>'Forecast Input'!F61</f>
        <v>3000</v>
      </c>
      <c r="F48" s="17">
        <f>'Forecast Input'!G61</f>
        <v>2000</v>
      </c>
      <c r="G48" s="17">
        <f>'Forecast Input'!H61</f>
        <v>1000</v>
      </c>
      <c r="H48" s="17">
        <f>'Forecast Input'!I61</f>
        <v>1000</v>
      </c>
      <c r="I48" s="17">
        <f>'Forecast Input'!J61</f>
        <v>1000</v>
      </c>
      <c r="J48" s="17">
        <f>'Forecast Input'!K61</f>
        <v>3000</v>
      </c>
      <c r="K48" s="17">
        <f>'Forecast Input'!L61</f>
        <v>5000</v>
      </c>
      <c r="L48" s="17">
        <f>'Forecast Input'!M61</f>
        <v>4000</v>
      </c>
      <c r="M48" s="17">
        <f>'Forecast Input'!N61</f>
        <v>4000</v>
      </c>
      <c r="N48" s="17">
        <f>'Forecast Input'!O61</f>
        <v>5000</v>
      </c>
      <c r="O48" s="46">
        <f>SUM(C48:N48)</f>
        <v>37000</v>
      </c>
    </row>
    <row r="49" spans="1:15">
      <c r="A49" s="47"/>
      <c r="B49" s="86" t="s">
        <v>196</v>
      </c>
      <c r="C49" s="153">
        <f>IF(C46=0,"-",C46-C48)</f>
        <v>-3088.1939600000001</v>
      </c>
      <c r="D49" s="153">
        <f t="shared" ref="D49:N49" si="24">IF(D46=0,"-",D46-D48)</f>
        <v>-3363.2958229999999</v>
      </c>
      <c r="E49" s="153">
        <f t="shared" si="24"/>
        <v>-838.41550499999994</v>
      </c>
      <c r="F49" s="153" t="str">
        <f t="shared" si="24"/>
        <v>-</v>
      </c>
      <c r="G49" s="153" t="str">
        <f t="shared" si="24"/>
        <v>-</v>
      </c>
      <c r="H49" s="153" t="str">
        <f t="shared" si="24"/>
        <v>-</v>
      </c>
      <c r="I49" s="153" t="str">
        <f t="shared" si="24"/>
        <v>-</v>
      </c>
      <c r="J49" s="153" t="str">
        <f t="shared" si="24"/>
        <v>-</v>
      </c>
      <c r="K49" s="153" t="str">
        <f t="shared" si="24"/>
        <v>-</v>
      </c>
      <c r="L49" s="153" t="str">
        <f t="shared" si="24"/>
        <v>-</v>
      </c>
      <c r="M49" s="153" t="str">
        <f t="shared" si="24"/>
        <v>-</v>
      </c>
      <c r="N49" s="153" t="str">
        <f t="shared" si="24"/>
        <v>-</v>
      </c>
      <c r="O49" s="48"/>
    </row>
    <row r="50" spans="1:15">
      <c r="A50" s="47"/>
      <c r="B50" s="86" t="s">
        <v>197</v>
      </c>
      <c r="C50" s="154">
        <f>IFERROR(C49/C46,"-")</f>
        <v>-1.6153280695776022</v>
      </c>
      <c r="D50" s="154">
        <f t="shared" ref="D50:N50" si="25">IFERROR(D49/D46,"-")</f>
        <v>9.2577332577809468</v>
      </c>
      <c r="E50" s="154">
        <f t="shared" si="25"/>
        <v>-0.38787079891595905</v>
      </c>
      <c r="F50" s="154" t="str">
        <f t="shared" si="25"/>
        <v>-</v>
      </c>
      <c r="G50" s="154" t="str">
        <f t="shared" si="25"/>
        <v>-</v>
      </c>
      <c r="H50" s="154" t="str">
        <f t="shared" si="25"/>
        <v>-</v>
      </c>
      <c r="I50" s="154" t="str">
        <f t="shared" si="25"/>
        <v>-</v>
      </c>
      <c r="J50" s="154" t="str">
        <f t="shared" si="25"/>
        <v>-</v>
      </c>
      <c r="K50" s="154" t="str">
        <f t="shared" si="25"/>
        <v>-</v>
      </c>
      <c r="L50" s="154" t="str">
        <f t="shared" si="25"/>
        <v>-</v>
      </c>
      <c r="M50" s="154" t="str">
        <f t="shared" si="25"/>
        <v>-</v>
      </c>
      <c r="N50" s="154" t="str">
        <f t="shared" si="25"/>
        <v>-</v>
      </c>
      <c r="O50" s="48"/>
    </row>
    <row r="51" spans="1:15">
      <c r="A51" s="47"/>
      <c r="B51" s="86" t="s">
        <v>198</v>
      </c>
      <c r="C51" s="153">
        <f t="shared" ref="C51:N51" si="26">IFERROR(C48-C47,"-")</f>
        <v>-1638</v>
      </c>
      <c r="D51" s="153">
        <f t="shared" si="26"/>
        <v>759</v>
      </c>
      <c r="E51" s="153">
        <f t="shared" si="26"/>
        <v>185</v>
      </c>
      <c r="F51" s="153">
        <f t="shared" si="26"/>
        <v>-1024</v>
      </c>
      <c r="G51" s="153">
        <f t="shared" si="26"/>
        <v>-989</v>
      </c>
      <c r="H51" s="153">
        <f t="shared" si="26"/>
        <v>-2108</v>
      </c>
      <c r="I51" s="153">
        <f t="shared" si="26"/>
        <v>-121</v>
      </c>
      <c r="J51" s="153">
        <f t="shared" si="26"/>
        <v>1872</v>
      </c>
      <c r="K51" s="153">
        <f t="shared" si="26"/>
        <v>628</v>
      </c>
      <c r="L51" s="153">
        <f t="shared" si="26"/>
        <v>222</v>
      </c>
      <c r="M51" s="153">
        <f t="shared" si="26"/>
        <v>2141</v>
      </c>
      <c r="N51" s="153">
        <f t="shared" si="26"/>
        <v>3006</v>
      </c>
      <c r="O51" s="48"/>
    </row>
    <row r="52" spans="1:15" ht="15.95" thickBot="1">
      <c r="A52" s="49"/>
      <c r="B52" s="155" t="s">
        <v>199</v>
      </c>
      <c r="C52" s="154">
        <f>IFERROR(C51/C47,"-")</f>
        <v>-0.2467610726122326</v>
      </c>
      <c r="D52" s="154">
        <f t="shared" ref="D52:N52" si="27">IFERROR(D51/D47,"-")</f>
        <v>0.33868808567603748</v>
      </c>
      <c r="E52" s="154">
        <f t="shared" si="27"/>
        <v>6.5719360568383664E-2</v>
      </c>
      <c r="F52" s="154">
        <f t="shared" si="27"/>
        <v>-0.33862433862433861</v>
      </c>
      <c r="G52" s="154">
        <f t="shared" si="27"/>
        <v>-0.49723479135243842</v>
      </c>
      <c r="H52" s="154">
        <f t="shared" si="27"/>
        <v>-0.6782496782496783</v>
      </c>
      <c r="I52" s="154">
        <f t="shared" si="27"/>
        <v>-0.10793933987511151</v>
      </c>
      <c r="J52" s="154">
        <f t="shared" si="27"/>
        <v>1.6595744680851063</v>
      </c>
      <c r="K52" s="154">
        <f t="shared" si="27"/>
        <v>0.14364135407136322</v>
      </c>
      <c r="L52" s="154">
        <f t="shared" si="27"/>
        <v>5.8761249338274216E-2</v>
      </c>
      <c r="M52" s="154">
        <f t="shared" si="27"/>
        <v>1.1516944593867671</v>
      </c>
      <c r="N52" s="154">
        <f t="shared" si="27"/>
        <v>1.5075225677031092</v>
      </c>
      <c r="O52" s="50"/>
    </row>
    <row r="53" spans="1:15">
      <c r="A53" s="39" t="s">
        <v>98</v>
      </c>
      <c r="B53" s="40" t="s">
        <v>194</v>
      </c>
      <c r="C53" s="41">
        <f>'Forecast Input'!D62</f>
        <v>-376.130584</v>
      </c>
      <c r="D53" s="41">
        <f>'Forecast Input'!E62</f>
        <v>-1212.1452959999999</v>
      </c>
      <c r="E53" s="41">
        <f>'Forecast Input'!F62</f>
        <v>1384.8505680000001</v>
      </c>
      <c r="F53" s="41">
        <f>'Forecast Input'!G62</f>
        <v>0</v>
      </c>
      <c r="G53" s="41">
        <f>'Forecast Input'!H62</f>
        <v>0</v>
      </c>
      <c r="H53" s="41">
        <f>'Forecast Input'!I62</f>
        <v>0</v>
      </c>
      <c r="I53" s="41">
        <f>'Forecast Input'!J62</f>
        <v>0</v>
      </c>
      <c r="J53" s="41">
        <f>'Forecast Input'!K62</f>
        <v>0</v>
      </c>
      <c r="K53" s="41">
        <f>'Forecast Input'!L62</f>
        <v>0</v>
      </c>
      <c r="L53" s="41">
        <f>'Forecast Input'!M62</f>
        <v>0</v>
      </c>
      <c r="M53" s="41">
        <f>'Forecast Input'!N62</f>
        <v>0</v>
      </c>
      <c r="N53" s="41">
        <f>'Forecast Input'!O62</f>
        <v>0</v>
      </c>
      <c r="O53" s="42">
        <f>SUM(C53:N53)</f>
        <v>-203.42531199999985</v>
      </c>
    </row>
    <row r="54" spans="1:15">
      <c r="A54" s="43"/>
      <c r="B54" s="33" t="s">
        <v>23</v>
      </c>
      <c r="C54" s="22">
        <v>1385</v>
      </c>
      <c r="D54" s="22">
        <v>3496</v>
      </c>
      <c r="E54" s="22">
        <v>4130</v>
      </c>
      <c r="F54" s="22">
        <v>257</v>
      </c>
      <c r="G54" s="22">
        <v>3319</v>
      </c>
      <c r="H54" s="22">
        <v>2293</v>
      </c>
      <c r="I54" s="22">
        <v>3306</v>
      </c>
      <c r="J54" s="22">
        <v>1352</v>
      </c>
      <c r="K54" s="22">
        <v>3128</v>
      </c>
      <c r="L54" s="22">
        <v>3018</v>
      </c>
      <c r="M54" s="22">
        <v>2816</v>
      </c>
      <c r="N54" s="22">
        <v>1098</v>
      </c>
      <c r="O54" s="44">
        <f>SUM(C54:N54)</f>
        <v>29598</v>
      </c>
    </row>
    <row r="55" spans="1:15">
      <c r="A55" s="45"/>
      <c r="B55" s="34" t="s">
        <v>160</v>
      </c>
      <c r="C55" s="17">
        <f>'Forecast Input'!D63</f>
        <v>5000</v>
      </c>
      <c r="D55" s="17">
        <f>'Forecast Input'!E63</f>
        <v>1000</v>
      </c>
      <c r="E55" s="17">
        <f>'Forecast Input'!F63</f>
        <v>1000</v>
      </c>
      <c r="F55" s="17">
        <f>'Forecast Input'!G63</f>
        <v>1000</v>
      </c>
      <c r="G55" s="17">
        <f>'Forecast Input'!H63</f>
        <v>1000</v>
      </c>
      <c r="H55" s="17">
        <f>'Forecast Input'!I63</f>
        <v>1000</v>
      </c>
      <c r="I55" s="17">
        <f>'Forecast Input'!J63</f>
        <v>1000</v>
      </c>
      <c r="J55" s="17">
        <f>'Forecast Input'!K63</f>
        <v>1000</v>
      </c>
      <c r="K55" s="17">
        <f>'Forecast Input'!L63</f>
        <v>1000</v>
      </c>
      <c r="L55" s="17">
        <f>'Forecast Input'!M63</f>
        <v>1000</v>
      </c>
      <c r="M55" s="17">
        <f>'Forecast Input'!N63</f>
        <v>1000</v>
      </c>
      <c r="N55" s="17">
        <f>'Forecast Input'!O63</f>
        <v>1000</v>
      </c>
      <c r="O55" s="46">
        <f>SUM(C55:N55)</f>
        <v>16000</v>
      </c>
    </row>
    <row r="56" spans="1:15">
      <c r="A56" s="47"/>
      <c r="B56" s="86" t="s">
        <v>196</v>
      </c>
      <c r="C56" s="153">
        <f>IF(C53=0,"-",C53-C55)</f>
        <v>-5376.1305840000005</v>
      </c>
      <c r="D56" s="153">
        <f t="shared" ref="D56:N56" si="28">IF(D53=0,"-",D53-D55)</f>
        <v>-2212.1452959999997</v>
      </c>
      <c r="E56" s="153">
        <f t="shared" si="28"/>
        <v>384.85056800000007</v>
      </c>
      <c r="F56" s="153" t="str">
        <f t="shared" si="28"/>
        <v>-</v>
      </c>
      <c r="G56" s="153" t="str">
        <f t="shared" si="28"/>
        <v>-</v>
      </c>
      <c r="H56" s="153" t="str">
        <f t="shared" si="28"/>
        <v>-</v>
      </c>
      <c r="I56" s="153" t="str">
        <f t="shared" si="28"/>
        <v>-</v>
      </c>
      <c r="J56" s="153" t="str">
        <f t="shared" si="28"/>
        <v>-</v>
      </c>
      <c r="K56" s="153" t="str">
        <f t="shared" si="28"/>
        <v>-</v>
      </c>
      <c r="L56" s="153" t="str">
        <f t="shared" si="28"/>
        <v>-</v>
      </c>
      <c r="M56" s="153" t="str">
        <f t="shared" si="28"/>
        <v>-</v>
      </c>
      <c r="N56" s="153" t="str">
        <f t="shared" si="28"/>
        <v>-</v>
      </c>
      <c r="O56" s="48"/>
    </row>
    <row r="57" spans="1:15">
      <c r="A57" s="47"/>
      <c r="B57" s="86" t="s">
        <v>197</v>
      </c>
      <c r="C57" s="154">
        <f>IFERROR(C56/C53,"-")</f>
        <v>14.293255621031872</v>
      </c>
      <c r="D57" s="154">
        <f t="shared" ref="D57:N57" si="29">IFERROR(D56/D53,"-")</f>
        <v>1.8249836082356912</v>
      </c>
      <c r="E57" s="154">
        <f t="shared" si="29"/>
        <v>0.27790042975958112</v>
      </c>
      <c r="F57" s="154" t="str">
        <f t="shared" si="29"/>
        <v>-</v>
      </c>
      <c r="G57" s="154" t="str">
        <f t="shared" si="29"/>
        <v>-</v>
      </c>
      <c r="H57" s="154" t="str">
        <f t="shared" si="29"/>
        <v>-</v>
      </c>
      <c r="I57" s="154" t="str">
        <f t="shared" si="29"/>
        <v>-</v>
      </c>
      <c r="J57" s="154" t="str">
        <f t="shared" si="29"/>
        <v>-</v>
      </c>
      <c r="K57" s="154" t="str">
        <f t="shared" si="29"/>
        <v>-</v>
      </c>
      <c r="L57" s="154" t="str">
        <f t="shared" si="29"/>
        <v>-</v>
      </c>
      <c r="M57" s="154" t="str">
        <f t="shared" si="29"/>
        <v>-</v>
      </c>
      <c r="N57" s="154" t="str">
        <f t="shared" si="29"/>
        <v>-</v>
      </c>
      <c r="O57" s="48"/>
    </row>
    <row r="58" spans="1:15">
      <c r="A58" s="47"/>
      <c r="B58" s="86" t="s">
        <v>198</v>
      </c>
      <c r="C58" s="153">
        <f t="shared" ref="C58:N58" si="30">IFERROR(C55-C54,"-")</f>
        <v>3615</v>
      </c>
      <c r="D58" s="153">
        <f t="shared" si="30"/>
        <v>-2496</v>
      </c>
      <c r="E58" s="153">
        <f t="shared" si="30"/>
        <v>-3130</v>
      </c>
      <c r="F58" s="153">
        <f t="shared" si="30"/>
        <v>743</v>
      </c>
      <c r="G58" s="153">
        <f t="shared" si="30"/>
        <v>-2319</v>
      </c>
      <c r="H58" s="153">
        <f t="shared" si="30"/>
        <v>-1293</v>
      </c>
      <c r="I58" s="153">
        <f t="shared" si="30"/>
        <v>-2306</v>
      </c>
      <c r="J58" s="153">
        <f t="shared" si="30"/>
        <v>-352</v>
      </c>
      <c r="K58" s="153">
        <f t="shared" si="30"/>
        <v>-2128</v>
      </c>
      <c r="L58" s="153">
        <f t="shared" si="30"/>
        <v>-2018</v>
      </c>
      <c r="M58" s="153">
        <f t="shared" si="30"/>
        <v>-1816</v>
      </c>
      <c r="N58" s="153">
        <f t="shared" si="30"/>
        <v>-98</v>
      </c>
      <c r="O58" s="48"/>
    </row>
    <row r="59" spans="1:15" ht="15.95" thickBot="1">
      <c r="A59" s="49"/>
      <c r="B59" s="155" t="s">
        <v>199</v>
      </c>
      <c r="C59" s="154">
        <f>IFERROR(C58/C54,"-")</f>
        <v>2.6101083032490973</v>
      </c>
      <c r="D59" s="154">
        <f t="shared" ref="D59:N59" si="31">IFERROR(D58/D54,"-")</f>
        <v>-0.71395881006864992</v>
      </c>
      <c r="E59" s="154">
        <f t="shared" si="31"/>
        <v>-0.75786924939467315</v>
      </c>
      <c r="F59" s="154">
        <f t="shared" si="31"/>
        <v>2.8910505836575875</v>
      </c>
      <c r="G59" s="154">
        <f t="shared" si="31"/>
        <v>-0.69870442904489305</v>
      </c>
      <c r="H59" s="154">
        <f t="shared" si="31"/>
        <v>-0.56389010030527698</v>
      </c>
      <c r="I59" s="154">
        <f t="shared" si="31"/>
        <v>-0.69751966122202058</v>
      </c>
      <c r="J59" s="154">
        <f t="shared" si="31"/>
        <v>-0.26035502958579881</v>
      </c>
      <c r="K59" s="154">
        <f t="shared" si="31"/>
        <v>-0.68030690537084404</v>
      </c>
      <c r="L59" s="154">
        <f t="shared" si="31"/>
        <v>-0.6686547382372432</v>
      </c>
      <c r="M59" s="154">
        <f t="shared" si="31"/>
        <v>-0.64488636363636365</v>
      </c>
      <c r="N59" s="154">
        <f t="shared" si="31"/>
        <v>-8.9253187613843349E-2</v>
      </c>
      <c r="O59" s="50"/>
    </row>
    <row r="60" spans="1:15">
      <c r="A60" s="39" t="s">
        <v>99</v>
      </c>
      <c r="B60" s="40" t="s">
        <v>194</v>
      </c>
      <c r="C60" s="41">
        <f>'Forecast Input'!D64</f>
        <v>1756.4309929999999</v>
      </c>
      <c r="D60" s="41">
        <f>'Forecast Input'!E64</f>
        <v>7497.8105919999998</v>
      </c>
      <c r="E60" s="41">
        <f>'Forecast Input'!F64</f>
        <v>1043.838379</v>
      </c>
      <c r="F60" s="41">
        <f>'Forecast Input'!G64</f>
        <v>0</v>
      </c>
      <c r="G60" s="41">
        <f>'Forecast Input'!H64</f>
        <v>0</v>
      </c>
      <c r="H60" s="41">
        <f>'Forecast Input'!I64</f>
        <v>0</v>
      </c>
      <c r="I60" s="41">
        <f>'Forecast Input'!J64</f>
        <v>0</v>
      </c>
      <c r="J60" s="41">
        <f>'Forecast Input'!K64</f>
        <v>0</v>
      </c>
      <c r="K60" s="41">
        <f>'Forecast Input'!L64</f>
        <v>0</v>
      </c>
      <c r="L60" s="41">
        <f>'Forecast Input'!M64</f>
        <v>0</v>
      </c>
      <c r="M60" s="41">
        <f>'Forecast Input'!N64</f>
        <v>0</v>
      </c>
      <c r="N60" s="41">
        <f>'Forecast Input'!O64</f>
        <v>0</v>
      </c>
      <c r="O60" s="42">
        <f>SUM(C60:N60)</f>
        <v>10298.079964</v>
      </c>
    </row>
    <row r="61" spans="1:15">
      <c r="A61" s="43"/>
      <c r="B61" s="33" t="s">
        <v>23</v>
      </c>
      <c r="C61" s="22">
        <v>13281</v>
      </c>
      <c r="D61" s="22">
        <v>14120</v>
      </c>
      <c r="E61" s="22">
        <v>6051</v>
      </c>
      <c r="F61" s="22">
        <v>6371</v>
      </c>
      <c r="G61" s="22">
        <v>4117</v>
      </c>
      <c r="H61" s="22">
        <v>4549</v>
      </c>
      <c r="I61" s="22">
        <v>3404</v>
      </c>
      <c r="J61" s="22">
        <v>4967</v>
      </c>
      <c r="K61" s="22">
        <v>12787</v>
      </c>
      <c r="L61" s="22">
        <v>7690</v>
      </c>
      <c r="M61" s="22">
        <v>6492</v>
      </c>
      <c r="N61" s="22">
        <v>596</v>
      </c>
      <c r="O61" s="44">
        <f>SUM(C61:N61)</f>
        <v>84425</v>
      </c>
    </row>
    <row r="62" spans="1:15">
      <c r="A62" s="45"/>
      <c r="B62" s="34" t="s">
        <v>160</v>
      </c>
      <c r="C62" s="17">
        <f>'Forecast Input'!D65</f>
        <v>5000</v>
      </c>
      <c r="D62" s="17">
        <f>'Forecast Input'!E65</f>
        <v>3000</v>
      </c>
      <c r="E62" s="17">
        <f>'Forecast Input'!F65</f>
        <v>3000</v>
      </c>
      <c r="F62" s="17">
        <f>'Forecast Input'!G65</f>
        <v>2000</v>
      </c>
      <c r="G62" s="17">
        <f>'Forecast Input'!H65</f>
        <v>1000</v>
      </c>
      <c r="H62" s="17">
        <f>'Forecast Input'!I65</f>
        <v>1000</v>
      </c>
      <c r="I62" s="17">
        <f>'Forecast Input'!J65</f>
        <v>1000</v>
      </c>
      <c r="J62" s="17">
        <f>'Forecast Input'!K65</f>
        <v>3000</v>
      </c>
      <c r="K62" s="17">
        <f>'Forecast Input'!L65</f>
        <v>5000</v>
      </c>
      <c r="L62" s="17">
        <f>'Forecast Input'!M65</f>
        <v>4000</v>
      </c>
      <c r="M62" s="17">
        <f>'Forecast Input'!N65</f>
        <v>4000</v>
      </c>
      <c r="N62" s="17">
        <f>'Forecast Input'!O65</f>
        <v>5000</v>
      </c>
      <c r="O62" s="46">
        <f>SUM(C62:N62)</f>
        <v>37000</v>
      </c>
    </row>
    <row r="63" spans="1:15">
      <c r="A63" s="47"/>
      <c r="B63" s="86" t="s">
        <v>196</v>
      </c>
      <c r="C63" s="153">
        <f>IF(C60=0,"-",C60-C62)</f>
        <v>-3243.5690070000001</v>
      </c>
      <c r="D63" s="153">
        <f t="shared" ref="D63:N63" si="32">IF(D60=0,"-",D60-D62)</f>
        <v>4497.8105919999998</v>
      </c>
      <c r="E63" s="153">
        <f t="shared" si="32"/>
        <v>-1956.161621</v>
      </c>
      <c r="F63" s="153" t="str">
        <f t="shared" si="32"/>
        <v>-</v>
      </c>
      <c r="G63" s="153" t="str">
        <f t="shared" si="32"/>
        <v>-</v>
      </c>
      <c r="H63" s="153" t="str">
        <f t="shared" si="32"/>
        <v>-</v>
      </c>
      <c r="I63" s="153" t="str">
        <f t="shared" si="32"/>
        <v>-</v>
      </c>
      <c r="J63" s="153" t="str">
        <f t="shared" si="32"/>
        <v>-</v>
      </c>
      <c r="K63" s="153" t="str">
        <f t="shared" si="32"/>
        <v>-</v>
      </c>
      <c r="L63" s="153" t="str">
        <f t="shared" si="32"/>
        <v>-</v>
      </c>
      <c r="M63" s="153" t="str">
        <f t="shared" si="32"/>
        <v>-</v>
      </c>
      <c r="N63" s="153" t="str">
        <f t="shared" si="32"/>
        <v>-</v>
      </c>
      <c r="O63" s="48"/>
    </row>
    <row r="64" spans="1:15">
      <c r="A64" s="47"/>
      <c r="B64" s="86" t="s">
        <v>197</v>
      </c>
      <c r="C64" s="154">
        <f>IFERROR(C63/C60,"-")</f>
        <v>-1.8466817198778502</v>
      </c>
      <c r="D64" s="154">
        <f t="shared" ref="D64:N64" si="33">IFERROR(D63/D60,"-")</f>
        <v>0.59988319747621599</v>
      </c>
      <c r="E64" s="154">
        <f t="shared" si="33"/>
        <v>-1.874008141829397</v>
      </c>
      <c r="F64" s="154" t="str">
        <f t="shared" si="33"/>
        <v>-</v>
      </c>
      <c r="G64" s="154" t="str">
        <f t="shared" si="33"/>
        <v>-</v>
      </c>
      <c r="H64" s="154" t="str">
        <f t="shared" si="33"/>
        <v>-</v>
      </c>
      <c r="I64" s="154" t="str">
        <f t="shared" si="33"/>
        <v>-</v>
      </c>
      <c r="J64" s="154" t="str">
        <f t="shared" si="33"/>
        <v>-</v>
      </c>
      <c r="K64" s="154" t="str">
        <f t="shared" si="33"/>
        <v>-</v>
      </c>
      <c r="L64" s="154" t="str">
        <f t="shared" si="33"/>
        <v>-</v>
      </c>
      <c r="M64" s="154" t="str">
        <f t="shared" si="33"/>
        <v>-</v>
      </c>
      <c r="N64" s="154" t="str">
        <f t="shared" si="33"/>
        <v>-</v>
      </c>
      <c r="O64" s="48"/>
    </row>
    <row r="65" spans="1:15">
      <c r="A65" s="47"/>
      <c r="B65" s="86" t="s">
        <v>198</v>
      </c>
      <c r="C65" s="153">
        <f t="shared" ref="C65:N65" si="34">IFERROR(C62-C61,"-")</f>
        <v>-8281</v>
      </c>
      <c r="D65" s="153">
        <f t="shared" si="34"/>
        <v>-11120</v>
      </c>
      <c r="E65" s="153">
        <f t="shared" si="34"/>
        <v>-3051</v>
      </c>
      <c r="F65" s="153">
        <f t="shared" si="34"/>
        <v>-4371</v>
      </c>
      <c r="G65" s="153">
        <f t="shared" si="34"/>
        <v>-3117</v>
      </c>
      <c r="H65" s="153">
        <f t="shared" si="34"/>
        <v>-3549</v>
      </c>
      <c r="I65" s="153">
        <f t="shared" si="34"/>
        <v>-2404</v>
      </c>
      <c r="J65" s="153">
        <f t="shared" si="34"/>
        <v>-1967</v>
      </c>
      <c r="K65" s="153">
        <f t="shared" si="34"/>
        <v>-7787</v>
      </c>
      <c r="L65" s="153">
        <f t="shared" si="34"/>
        <v>-3690</v>
      </c>
      <c r="M65" s="153">
        <f t="shared" si="34"/>
        <v>-2492</v>
      </c>
      <c r="N65" s="153">
        <f t="shared" si="34"/>
        <v>4404</v>
      </c>
      <c r="O65" s="48"/>
    </row>
    <row r="66" spans="1:15" ht="15.95" thickBot="1">
      <c r="A66" s="49"/>
      <c r="B66" s="155" t="s">
        <v>199</v>
      </c>
      <c r="C66" s="154">
        <f>IFERROR(C65/C61,"-")</f>
        <v>-0.62352232512612005</v>
      </c>
      <c r="D66" s="154">
        <f t="shared" ref="D66:N66" si="35">IFERROR(D65/D61,"-")</f>
        <v>-0.78753541076487255</v>
      </c>
      <c r="E66" s="154">
        <f t="shared" si="35"/>
        <v>-0.50421417947446701</v>
      </c>
      <c r="F66" s="154">
        <f t="shared" si="35"/>
        <v>-0.68607753884790457</v>
      </c>
      <c r="G66" s="154">
        <f t="shared" si="35"/>
        <v>-0.7571046878795239</v>
      </c>
      <c r="H66" s="154">
        <f t="shared" si="35"/>
        <v>-0.78017146625632006</v>
      </c>
      <c r="I66" s="154">
        <f t="shared" si="35"/>
        <v>-0.70622796709753233</v>
      </c>
      <c r="J66" s="154">
        <f t="shared" si="35"/>
        <v>-0.39601369035635192</v>
      </c>
      <c r="K66" s="154">
        <f t="shared" si="35"/>
        <v>-0.60897786814733712</v>
      </c>
      <c r="L66" s="154">
        <f t="shared" si="35"/>
        <v>-0.4798439531859558</v>
      </c>
      <c r="M66" s="154">
        <f t="shared" si="35"/>
        <v>-0.38385705483672211</v>
      </c>
      <c r="N66" s="154">
        <f t="shared" si="35"/>
        <v>7.3892617449664426</v>
      </c>
      <c r="O66" s="50"/>
    </row>
    <row r="67" spans="1:15">
      <c r="A67" s="39" t="s">
        <v>100</v>
      </c>
      <c r="B67" s="40" t="s">
        <v>194</v>
      </c>
      <c r="C67" s="41">
        <f>'Forecast Input'!D66</f>
        <v>2.8940049999999999</v>
      </c>
      <c r="D67" s="41">
        <f>'Forecast Input'!E66</f>
        <v>42.601367000000003</v>
      </c>
      <c r="E67" s="41">
        <f>'Forecast Input'!F66</f>
        <v>39.869312000000001</v>
      </c>
      <c r="F67" s="41">
        <f>'Forecast Input'!G66</f>
        <v>0</v>
      </c>
      <c r="G67" s="41">
        <f>'Forecast Input'!H66</f>
        <v>0</v>
      </c>
      <c r="H67" s="41">
        <f>'Forecast Input'!I66</f>
        <v>0</v>
      </c>
      <c r="I67" s="41">
        <f>'Forecast Input'!J66</f>
        <v>0</v>
      </c>
      <c r="J67" s="41">
        <f>'Forecast Input'!K66</f>
        <v>0</v>
      </c>
      <c r="K67" s="41">
        <f>'Forecast Input'!L66</f>
        <v>0</v>
      </c>
      <c r="L67" s="41">
        <f>'Forecast Input'!M66</f>
        <v>0</v>
      </c>
      <c r="M67" s="41">
        <f>'Forecast Input'!N66</f>
        <v>0</v>
      </c>
      <c r="N67" s="41">
        <f>'Forecast Input'!O66</f>
        <v>0</v>
      </c>
      <c r="O67" s="42">
        <f>SUM(C67:N67)</f>
        <v>85.364684000000011</v>
      </c>
    </row>
    <row r="68" spans="1:15">
      <c r="A68" s="43"/>
      <c r="B68" s="33" t="s">
        <v>23</v>
      </c>
      <c r="C68" s="22"/>
      <c r="D68" s="22"/>
      <c r="E68" s="22"/>
      <c r="F68" s="22"/>
      <c r="G68" s="22">
        <v>1</v>
      </c>
      <c r="H68" s="22"/>
      <c r="I68" s="22">
        <v>0</v>
      </c>
      <c r="J68" s="22">
        <v>15</v>
      </c>
      <c r="K68" s="22">
        <v>305</v>
      </c>
      <c r="L68" s="22">
        <v>4</v>
      </c>
      <c r="M68" s="22">
        <v>-24</v>
      </c>
      <c r="N68" s="22">
        <v>-370</v>
      </c>
      <c r="O68" s="44">
        <f>SUM(C68:N68)</f>
        <v>-69</v>
      </c>
    </row>
    <row r="69" spans="1:15">
      <c r="A69" s="45"/>
      <c r="B69" s="34" t="s">
        <v>160</v>
      </c>
      <c r="C69" s="17">
        <f>'Forecast Input'!D67</f>
        <v>0</v>
      </c>
      <c r="D69" s="17">
        <f>'Forecast Input'!E67</f>
        <v>0</v>
      </c>
      <c r="E69" s="17">
        <f>'Forecast Input'!F67</f>
        <v>0</v>
      </c>
      <c r="F69" s="17">
        <f>'Forecast Input'!G67</f>
        <v>0</v>
      </c>
      <c r="G69" s="17">
        <f>'Forecast Input'!H67</f>
        <v>0</v>
      </c>
      <c r="H69" s="17">
        <f>'Forecast Input'!I67</f>
        <v>0</v>
      </c>
      <c r="I69" s="17">
        <f>'Forecast Input'!J67</f>
        <v>0</v>
      </c>
      <c r="J69" s="17">
        <f>'Forecast Input'!K67</f>
        <v>0</v>
      </c>
      <c r="K69" s="17">
        <f>'Forecast Input'!L67</f>
        <v>0</v>
      </c>
      <c r="L69" s="17">
        <f>'Forecast Input'!M67</f>
        <v>0</v>
      </c>
      <c r="M69" s="17">
        <f>'Forecast Input'!N67</f>
        <v>0</v>
      </c>
      <c r="N69" s="17">
        <f>'Forecast Input'!O67</f>
        <v>0</v>
      </c>
      <c r="O69" s="46">
        <f>SUM(C69:N69)</f>
        <v>0</v>
      </c>
    </row>
    <row r="70" spans="1:15">
      <c r="A70" s="47"/>
      <c r="B70" s="86" t="s">
        <v>196</v>
      </c>
      <c r="C70" s="153">
        <f>IF(C67=0,"-",C67-C69)</f>
        <v>2.8940049999999999</v>
      </c>
      <c r="D70" s="153">
        <f t="shared" ref="D70:N70" si="36">IF(D67=0,"-",D67-D69)</f>
        <v>42.601367000000003</v>
      </c>
      <c r="E70" s="153">
        <f t="shared" si="36"/>
        <v>39.869312000000001</v>
      </c>
      <c r="F70" s="153" t="str">
        <f t="shared" si="36"/>
        <v>-</v>
      </c>
      <c r="G70" s="153" t="str">
        <f t="shared" si="36"/>
        <v>-</v>
      </c>
      <c r="H70" s="153" t="str">
        <f t="shared" si="36"/>
        <v>-</v>
      </c>
      <c r="I70" s="153" t="str">
        <f t="shared" si="36"/>
        <v>-</v>
      </c>
      <c r="J70" s="153" t="str">
        <f t="shared" si="36"/>
        <v>-</v>
      </c>
      <c r="K70" s="153" t="str">
        <f t="shared" si="36"/>
        <v>-</v>
      </c>
      <c r="L70" s="153" t="str">
        <f t="shared" si="36"/>
        <v>-</v>
      </c>
      <c r="M70" s="153" t="str">
        <f t="shared" si="36"/>
        <v>-</v>
      </c>
      <c r="N70" s="153" t="str">
        <f t="shared" si="36"/>
        <v>-</v>
      </c>
      <c r="O70" s="48"/>
    </row>
    <row r="71" spans="1:15">
      <c r="A71" s="47"/>
      <c r="B71" s="86" t="s">
        <v>197</v>
      </c>
      <c r="C71" s="154">
        <f>IFERROR(C70/C67,"-")</f>
        <v>1</v>
      </c>
      <c r="D71" s="154">
        <f t="shared" ref="D71:N71" si="37">IFERROR(D70/D67,"-")</f>
        <v>1</v>
      </c>
      <c r="E71" s="154">
        <f t="shared" si="37"/>
        <v>1</v>
      </c>
      <c r="F71" s="154" t="str">
        <f t="shared" si="37"/>
        <v>-</v>
      </c>
      <c r="G71" s="154" t="str">
        <f t="shared" si="37"/>
        <v>-</v>
      </c>
      <c r="H71" s="154" t="str">
        <f t="shared" si="37"/>
        <v>-</v>
      </c>
      <c r="I71" s="154" t="str">
        <f t="shared" si="37"/>
        <v>-</v>
      </c>
      <c r="J71" s="154" t="str">
        <f t="shared" si="37"/>
        <v>-</v>
      </c>
      <c r="K71" s="154" t="str">
        <f t="shared" si="37"/>
        <v>-</v>
      </c>
      <c r="L71" s="154" t="str">
        <f t="shared" si="37"/>
        <v>-</v>
      </c>
      <c r="M71" s="154" t="str">
        <f t="shared" si="37"/>
        <v>-</v>
      </c>
      <c r="N71" s="154" t="str">
        <f t="shared" si="37"/>
        <v>-</v>
      </c>
      <c r="O71" s="48"/>
    </row>
    <row r="72" spans="1:15">
      <c r="A72" s="47"/>
      <c r="B72" s="86" t="s">
        <v>198</v>
      </c>
      <c r="C72" s="153">
        <f t="shared" ref="C72:N72" si="38">IFERROR(C69-C68,"-")</f>
        <v>0</v>
      </c>
      <c r="D72" s="153">
        <f t="shared" si="38"/>
        <v>0</v>
      </c>
      <c r="E72" s="153">
        <f t="shared" si="38"/>
        <v>0</v>
      </c>
      <c r="F72" s="153">
        <f t="shared" si="38"/>
        <v>0</v>
      </c>
      <c r="G72" s="153">
        <f t="shared" si="38"/>
        <v>-1</v>
      </c>
      <c r="H72" s="153">
        <f t="shared" si="38"/>
        <v>0</v>
      </c>
      <c r="I72" s="153">
        <f t="shared" si="38"/>
        <v>0</v>
      </c>
      <c r="J72" s="153">
        <f t="shared" si="38"/>
        <v>-15</v>
      </c>
      <c r="K72" s="153">
        <f t="shared" si="38"/>
        <v>-305</v>
      </c>
      <c r="L72" s="153">
        <f t="shared" si="38"/>
        <v>-4</v>
      </c>
      <c r="M72" s="153">
        <f t="shared" si="38"/>
        <v>24</v>
      </c>
      <c r="N72" s="153">
        <f t="shared" si="38"/>
        <v>370</v>
      </c>
      <c r="O72" s="48"/>
    </row>
    <row r="73" spans="1:15" ht="15.95" thickBot="1">
      <c r="A73" s="49"/>
      <c r="B73" s="155" t="s">
        <v>199</v>
      </c>
      <c r="C73" s="154" t="str">
        <f>IFERROR(C72/C68,"-")</f>
        <v>-</v>
      </c>
      <c r="D73" s="154" t="str">
        <f t="shared" ref="D73:N73" si="39">IFERROR(D72/D68,"-")</f>
        <v>-</v>
      </c>
      <c r="E73" s="154" t="str">
        <f t="shared" si="39"/>
        <v>-</v>
      </c>
      <c r="F73" s="154" t="str">
        <f t="shared" si="39"/>
        <v>-</v>
      </c>
      <c r="G73" s="154">
        <f t="shared" si="39"/>
        <v>-1</v>
      </c>
      <c r="H73" s="154" t="str">
        <f t="shared" si="39"/>
        <v>-</v>
      </c>
      <c r="I73" s="154" t="str">
        <f t="shared" si="39"/>
        <v>-</v>
      </c>
      <c r="J73" s="154">
        <f t="shared" si="39"/>
        <v>-1</v>
      </c>
      <c r="K73" s="154">
        <f t="shared" si="39"/>
        <v>-1</v>
      </c>
      <c r="L73" s="154">
        <f t="shared" si="39"/>
        <v>-1</v>
      </c>
      <c r="M73" s="154">
        <f t="shared" si="39"/>
        <v>-1</v>
      </c>
      <c r="N73" s="154">
        <f t="shared" si="39"/>
        <v>-1</v>
      </c>
      <c r="O73" s="50"/>
    </row>
    <row r="74" spans="1:15">
      <c r="A74" s="39" t="s">
        <v>101</v>
      </c>
      <c r="B74" s="40" t="s">
        <v>194</v>
      </c>
      <c r="C74" s="41">
        <f>'Forecast Input'!D68</f>
        <v>84.286657000000005</v>
      </c>
      <c r="D74" s="41">
        <f>'Forecast Input'!E68</f>
        <v>268.819322</v>
      </c>
      <c r="E74" s="41">
        <f>'Forecast Input'!F68</f>
        <v>-18.937923000000001</v>
      </c>
      <c r="F74" s="41">
        <f>'Forecast Input'!G68</f>
        <v>0</v>
      </c>
      <c r="G74" s="41">
        <f>'Forecast Input'!H68</f>
        <v>0</v>
      </c>
      <c r="H74" s="41">
        <f>'Forecast Input'!I68</f>
        <v>0</v>
      </c>
      <c r="I74" s="41">
        <f>'Forecast Input'!J68</f>
        <v>0</v>
      </c>
      <c r="J74" s="41">
        <f>'Forecast Input'!K68</f>
        <v>0</v>
      </c>
      <c r="K74" s="41">
        <f>'Forecast Input'!L68</f>
        <v>0</v>
      </c>
      <c r="L74" s="41">
        <f>'Forecast Input'!M68</f>
        <v>0</v>
      </c>
      <c r="M74" s="41">
        <f>'Forecast Input'!N68</f>
        <v>0</v>
      </c>
      <c r="N74" s="41">
        <f>'Forecast Input'!O68</f>
        <v>0</v>
      </c>
      <c r="O74" s="42">
        <f>SUM(C74:N74)</f>
        <v>334.16805599999998</v>
      </c>
    </row>
    <row r="75" spans="1:15">
      <c r="A75" s="43"/>
      <c r="B75" s="33" t="s">
        <v>23</v>
      </c>
      <c r="C75" s="22"/>
      <c r="D75" s="22"/>
      <c r="E75" s="22"/>
      <c r="F75" s="22"/>
      <c r="G75" s="22"/>
      <c r="H75" s="22"/>
      <c r="I75" s="22"/>
      <c r="J75" s="22"/>
      <c r="K75" s="22"/>
      <c r="L75" s="22"/>
      <c r="M75" s="22">
        <v>5</v>
      </c>
      <c r="N75" s="22">
        <v>0</v>
      </c>
      <c r="O75" s="44">
        <f>SUM(C75:N75)</f>
        <v>5</v>
      </c>
    </row>
    <row r="76" spans="1:15">
      <c r="A76" s="45"/>
      <c r="B76" s="34" t="s">
        <v>160</v>
      </c>
      <c r="C76" s="17">
        <f>'Forecast Input'!D69</f>
        <v>100</v>
      </c>
      <c r="D76" s="17">
        <f>'Forecast Input'!E69</f>
        <v>100</v>
      </c>
      <c r="E76" s="17">
        <f>'Forecast Input'!F69</f>
        <v>100</v>
      </c>
      <c r="F76" s="17">
        <f>'Forecast Input'!G69</f>
        <v>100</v>
      </c>
      <c r="G76" s="17">
        <f>'Forecast Input'!H69</f>
        <v>100</v>
      </c>
      <c r="H76" s="17">
        <f>'Forecast Input'!I69</f>
        <v>100</v>
      </c>
      <c r="I76" s="17">
        <f>'Forecast Input'!J69</f>
        <v>100</v>
      </c>
      <c r="J76" s="17">
        <f>'Forecast Input'!K69</f>
        <v>100</v>
      </c>
      <c r="K76" s="17">
        <f>'Forecast Input'!L69</f>
        <v>100</v>
      </c>
      <c r="L76" s="17">
        <f>'Forecast Input'!M69</f>
        <v>100</v>
      </c>
      <c r="M76" s="17">
        <f>'Forecast Input'!N69</f>
        <v>100</v>
      </c>
      <c r="N76" s="17">
        <f>'Forecast Input'!O69</f>
        <v>100</v>
      </c>
      <c r="O76" s="46">
        <f>SUM(C76:N76)</f>
        <v>1200</v>
      </c>
    </row>
    <row r="77" spans="1:15">
      <c r="A77" s="47"/>
      <c r="B77" s="86" t="s">
        <v>196</v>
      </c>
      <c r="C77" s="153">
        <f>IF(C74=0,"-",C74-C76)</f>
        <v>-15.713342999999995</v>
      </c>
      <c r="D77" s="153">
        <f t="shared" ref="D77:N77" si="40">IF(D74=0,"-",D74-D76)</f>
        <v>168.819322</v>
      </c>
      <c r="E77" s="153">
        <f t="shared" si="40"/>
        <v>-118.937923</v>
      </c>
      <c r="F77" s="153" t="str">
        <f t="shared" si="40"/>
        <v>-</v>
      </c>
      <c r="G77" s="153" t="str">
        <f t="shared" si="40"/>
        <v>-</v>
      </c>
      <c r="H77" s="153" t="str">
        <f t="shared" si="40"/>
        <v>-</v>
      </c>
      <c r="I77" s="153" t="str">
        <f t="shared" si="40"/>
        <v>-</v>
      </c>
      <c r="J77" s="153" t="str">
        <f t="shared" si="40"/>
        <v>-</v>
      </c>
      <c r="K77" s="153" t="str">
        <f t="shared" si="40"/>
        <v>-</v>
      </c>
      <c r="L77" s="153" t="str">
        <f t="shared" si="40"/>
        <v>-</v>
      </c>
      <c r="M77" s="153" t="str">
        <f t="shared" si="40"/>
        <v>-</v>
      </c>
      <c r="N77" s="153" t="str">
        <f t="shared" si="40"/>
        <v>-</v>
      </c>
      <c r="O77" s="48"/>
    </row>
    <row r="78" spans="1:15">
      <c r="A78" s="47"/>
      <c r="B78" s="86" t="s">
        <v>197</v>
      </c>
      <c r="C78" s="154">
        <f>IFERROR(C77/C74,"-")</f>
        <v>-0.18642740807717637</v>
      </c>
      <c r="D78" s="154">
        <f t="shared" ref="D78:N78" si="41">IFERROR(D77/D74,"-")</f>
        <v>0.62800293053339373</v>
      </c>
      <c r="E78" s="154">
        <f t="shared" si="41"/>
        <v>6.2804101062191453</v>
      </c>
      <c r="F78" s="154" t="str">
        <f t="shared" si="41"/>
        <v>-</v>
      </c>
      <c r="G78" s="154" t="str">
        <f t="shared" si="41"/>
        <v>-</v>
      </c>
      <c r="H78" s="154" t="str">
        <f t="shared" si="41"/>
        <v>-</v>
      </c>
      <c r="I78" s="154" t="str">
        <f t="shared" si="41"/>
        <v>-</v>
      </c>
      <c r="J78" s="154" t="str">
        <f t="shared" si="41"/>
        <v>-</v>
      </c>
      <c r="K78" s="154" t="str">
        <f t="shared" si="41"/>
        <v>-</v>
      </c>
      <c r="L78" s="154" t="str">
        <f t="shared" si="41"/>
        <v>-</v>
      </c>
      <c r="M78" s="154" t="str">
        <f t="shared" si="41"/>
        <v>-</v>
      </c>
      <c r="N78" s="154" t="str">
        <f t="shared" si="41"/>
        <v>-</v>
      </c>
      <c r="O78" s="48"/>
    </row>
    <row r="79" spans="1:15">
      <c r="A79" s="47"/>
      <c r="B79" s="86" t="s">
        <v>198</v>
      </c>
      <c r="C79" s="153">
        <f t="shared" ref="C79:N79" si="42">IFERROR(C76-C75,"-")</f>
        <v>100</v>
      </c>
      <c r="D79" s="153">
        <f t="shared" si="42"/>
        <v>100</v>
      </c>
      <c r="E79" s="153">
        <f t="shared" si="42"/>
        <v>100</v>
      </c>
      <c r="F79" s="153">
        <f t="shared" si="42"/>
        <v>100</v>
      </c>
      <c r="G79" s="153">
        <f t="shared" si="42"/>
        <v>100</v>
      </c>
      <c r="H79" s="153">
        <f t="shared" si="42"/>
        <v>100</v>
      </c>
      <c r="I79" s="153">
        <f t="shared" si="42"/>
        <v>100</v>
      </c>
      <c r="J79" s="153">
        <f t="shared" si="42"/>
        <v>100</v>
      </c>
      <c r="K79" s="153">
        <f t="shared" si="42"/>
        <v>100</v>
      </c>
      <c r="L79" s="153">
        <f t="shared" si="42"/>
        <v>100</v>
      </c>
      <c r="M79" s="153">
        <f t="shared" si="42"/>
        <v>95</v>
      </c>
      <c r="N79" s="153">
        <f t="shared" si="42"/>
        <v>100</v>
      </c>
      <c r="O79" s="48"/>
    </row>
    <row r="80" spans="1:15" ht="15.95" thickBot="1">
      <c r="A80" s="49"/>
      <c r="B80" s="155" t="s">
        <v>199</v>
      </c>
      <c r="C80" s="154" t="str">
        <f>IFERROR(C79/C75,"-")</f>
        <v>-</v>
      </c>
      <c r="D80" s="154" t="str">
        <f t="shared" ref="D80:N80" si="43">IFERROR(D79/D75,"-")</f>
        <v>-</v>
      </c>
      <c r="E80" s="154" t="str">
        <f t="shared" si="43"/>
        <v>-</v>
      </c>
      <c r="F80" s="154" t="str">
        <f t="shared" si="43"/>
        <v>-</v>
      </c>
      <c r="G80" s="154" t="str">
        <f t="shared" si="43"/>
        <v>-</v>
      </c>
      <c r="H80" s="154" t="str">
        <f t="shared" si="43"/>
        <v>-</v>
      </c>
      <c r="I80" s="154" t="str">
        <f t="shared" si="43"/>
        <v>-</v>
      </c>
      <c r="J80" s="154" t="str">
        <f t="shared" si="43"/>
        <v>-</v>
      </c>
      <c r="K80" s="154" t="str">
        <f t="shared" si="43"/>
        <v>-</v>
      </c>
      <c r="L80" s="154" t="str">
        <f t="shared" si="43"/>
        <v>-</v>
      </c>
      <c r="M80" s="154">
        <f t="shared" si="43"/>
        <v>19</v>
      </c>
      <c r="N80" s="154" t="str">
        <f t="shared" si="43"/>
        <v>-</v>
      </c>
      <c r="O80" s="50"/>
    </row>
    <row r="81" spans="1:15">
      <c r="A81" s="39" t="s">
        <v>102</v>
      </c>
      <c r="B81" s="40" t="s">
        <v>194</v>
      </c>
      <c r="C81" s="41">
        <f>'Forecast Input'!D70</f>
        <v>353.48924799999998</v>
      </c>
      <c r="D81" s="41">
        <f>'Forecast Input'!E70</f>
        <v>275.81461999999999</v>
      </c>
      <c r="E81" s="41">
        <f>'Forecast Input'!F70</f>
        <v>355.83360499999998</v>
      </c>
      <c r="F81" s="41">
        <f>'Forecast Input'!G70</f>
        <v>0</v>
      </c>
      <c r="G81" s="41">
        <f>'Forecast Input'!H70</f>
        <v>0</v>
      </c>
      <c r="H81" s="41">
        <f>'Forecast Input'!I70</f>
        <v>0</v>
      </c>
      <c r="I81" s="41">
        <f>'Forecast Input'!J70</f>
        <v>0</v>
      </c>
      <c r="J81" s="41">
        <f>'Forecast Input'!K70</f>
        <v>0</v>
      </c>
      <c r="K81" s="41">
        <f>'Forecast Input'!L70</f>
        <v>0</v>
      </c>
      <c r="L81" s="41">
        <f>'Forecast Input'!M70</f>
        <v>0</v>
      </c>
      <c r="M81" s="41">
        <f>'Forecast Input'!N70</f>
        <v>0</v>
      </c>
      <c r="N81" s="41">
        <f>'Forecast Input'!O70</f>
        <v>0</v>
      </c>
      <c r="O81" s="42">
        <f>SUM(C81:N81)</f>
        <v>985.137473</v>
      </c>
    </row>
    <row r="82" spans="1:15">
      <c r="A82" s="43"/>
      <c r="B82" s="33" t="s">
        <v>23</v>
      </c>
      <c r="C82" s="22">
        <v>375</v>
      </c>
      <c r="D82" s="22">
        <v>200</v>
      </c>
      <c r="E82" s="22">
        <v>652</v>
      </c>
      <c r="F82" s="22">
        <v>1838</v>
      </c>
      <c r="G82" s="22">
        <v>633</v>
      </c>
      <c r="H82" s="22">
        <v>594</v>
      </c>
      <c r="I82" s="22">
        <v>675</v>
      </c>
      <c r="J82" s="22">
        <v>1396</v>
      </c>
      <c r="K82" s="22">
        <v>520</v>
      </c>
      <c r="L82" s="22">
        <v>300</v>
      </c>
      <c r="M82" s="22">
        <v>425</v>
      </c>
      <c r="N82" s="22">
        <v>-324</v>
      </c>
      <c r="O82" s="44">
        <f>SUM(C82:N82)</f>
        <v>7284</v>
      </c>
    </row>
    <row r="83" spans="1:15">
      <c r="A83" s="45"/>
      <c r="B83" s="34" t="s">
        <v>160</v>
      </c>
      <c r="C83" s="17">
        <f>'Forecast Input'!D71</f>
        <v>500</v>
      </c>
      <c r="D83" s="17">
        <f>'Forecast Input'!E71</f>
        <v>500</v>
      </c>
      <c r="E83" s="17">
        <f>'Forecast Input'!F71</f>
        <v>500</v>
      </c>
      <c r="F83" s="17">
        <f>'Forecast Input'!G71</f>
        <v>500</v>
      </c>
      <c r="G83" s="17">
        <f>'Forecast Input'!H71</f>
        <v>500</v>
      </c>
      <c r="H83" s="17">
        <f>'Forecast Input'!I71</f>
        <v>500</v>
      </c>
      <c r="I83" s="17">
        <f>'Forecast Input'!J71</f>
        <v>500</v>
      </c>
      <c r="J83" s="17">
        <f>'Forecast Input'!K71</f>
        <v>500</v>
      </c>
      <c r="K83" s="17">
        <f>'Forecast Input'!L71</f>
        <v>500</v>
      </c>
      <c r="L83" s="17">
        <f>'Forecast Input'!M71</f>
        <v>500</v>
      </c>
      <c r="M83" s="17">
        <f>'Forecast Input'!N71</f>
        <v>500</v>
      </c>
      <c r="N83" s="17">
        <f>'Forecast Input'!O71</f>
        <v>500</v>
      </c>
      <c r="O83" s="46">
        <f>SUM(C83:N83)</f>
        <v>6000</v>
      </c>
    </row>
    <row r="84" spans="1:15">
      <c r="A84" s="47"/>
      <c r="B84" s="86" t="s">
        <v>196</v>
      </c>
      <c r="C84" s="153">
        <f>IF(C81=0,"-",C81-C83)</f>
        <v>-146.51075200000002</v>
      </c>
      <c r="D84" s="153">
        <f t="shared" ref="D84:N84" si="44">IF(D81=0,"-",D81-D83)</f>
        <v>-224.18538000000001</v>
      </c>
      <c r="E84" s="153">
        <f t="shared" si="44"/>
        <v>-144.16639500000002</v>
      </c>
      <c r="F84" s="153" t="str">
        <f t="shared" si="44"/>
        <v>-</v>
      </c>
      <c r="G84" s="153" t="str">
        <f t="shared" si="44"/>
        <v>-</v>
      </c>
      <c r="H84" s="153" t="str">
        <f t="shared" si="44"/>
        <v>-</v>
      </c>
      <c r="I84" s="153" t="str">
        <f t="shared" si="44"/>
        <v>-</v>
      </c>
      <c r="J84" s="153" t="str">
        <f t="shared" si="44"/>
        <v>-</v>
      </c>
      <c r="K84" s="153" t="str">
        <f t="shared" si="44"/>
        <v>-</v>
      </c>
      <c r="L84" s="153" t="str">
        <f t="shared" si="44"/>
        <v>-</v>
      </c>
      <c r="M84" s="153" t="str">
        <f t="shared" si="44"/>
        <v>-</v>
      </c>
      <c r="N84" s="153" t="str">
        <f t="shared" si="44"/>
        <v>-</v>
      </c>
      <c r="O84" s="48"/>
    </row>
    <row r="85" spans="1:15">
      <c r="A85" s="47"/>
      <c r="B85" s="86" t="s">
        <v>197</v>
      </c>
      <c r="C85" s="154">
        <f>IFERROR(C84/C81,"-")</f>
        <v>-0.41447017930231372</v>
      </c>
      <c r="D85" s="154">
        <f t="shared" ref="D85:N85" si="45">IFERROR(D84/D81,"-")</f>
        <v>-0.81281180816303367</v>
      </c>
      <c r="E85" s="154">
        <f t="shared" si="45"/>
        <v>-0.40515115203916741</v>
      </c>
      <c r="F85" s="154" t="str">
        <f t="shared" si="45"/>
        <v>-</v>
      </c>
      <c r="G85" s="154" t="str">
        <f t="shared" si="45"/>
        <v>-</v>
      </c>
      <c r="H85" s="154" t="str">
        <f t="shared" si="45"/>
        <v>-</v>
      </c>
      <c r="I85" s="154" t="str">
        <f t="shared" si="45"/>
        <v>-</v>
      </c>
      <c r="J85" s="154" t="str">
        <f t="shared" si="45"/>
        <v>-</v>
      </c>
      <c r="K85" s="154" t="str">
        <f t="shared" si="45"/>
        <v>-</v>
      </c>
      <c r="L85" s="154" t="str">
        <f t="shared" si="45"/>
        <v>-</v>
      </c>
      <c r="M85" s="154" t="str">
        <f t="shared" si="45"/>
        <v>-</v>
      </c>
      <c r="N85" s="154" t="str">
        <f t="shared" si="45"/>
        <v>-</v>
      </c>
      <c r="O85" s="48"/>
    </row>
    <row r="86" spans="1:15">
      <c r="A86" s="47"/>
      <c r="B86" s="86" t="s">
        <v>198</v>
      </c>
      <c r="C86" s="153">
        <f t="shared" ref="C86:N86" si="46">IFERROR(C83-C82,"-")</f>
        <v>125</v>
      </c>
      <c r="D86" s="153">
        <f t="shared" si="46"/>
        <v>300</v>
      </c>
      <c r="E86" s="153">
        <f t="shared" si="46"/>
        <v>-152</v>
      </c>
      <c r="F86" s="153">
        <f t="shared" si="46"/>
        <v>-1338</v>
      </c>
      <c r="G86" s="153">
        <f t="shared" si="46"/>
        <v>-133</v>
      </c>
      <c r="H86" s="153">
        <f t="shared" si="46"/>
        <v>-94</v>
      </c>
      <c r="I86" s="153">
        <f t="shared" si="46"/>
        <v>-175</v>
      </c>
      <c r="J86" s="153">
        <f t="shared" si="46"/>
        <v>-896</v>
      </c>
      <c r="K86" s="153">
        <f t="shared" si="46"/>
        <v>-20</v>
      </c>
      <c r="L86" s="153">
        <f t="shared" si="46"/>
        <v>200</v>
      </c>
      <c r="M86" s="153">
        <f t="shared" si="46"/>
        <v>75</v>
      </c>
      <c r="N86" s="153">
        <f t="shared" si="46"/>
        <v>824</v>
      </c>
      <c r="O86" s="48"/>
    </row>
    <row r="87" spans="1:15" ht="15.95" thickBot="1">
      <c r="A87" s="49"/>
      <c r="B87" s="155" t="s">
        <v>199</v>
      </c>
      <c r="C87" s="154">
        <f>IFERROR(C86/C82,"-")</f>
        <v>0.33333333333333331</v>
      </c>
      <c r="D87" s="154">
        <f t="shared" ref="D87:N87" si="47">IFERROR(D86/D82,"-")</f>
        <v>1.5</v>
      </c>
      <c r="E87" s="154">
        <f t="shared" si="47"/>
        <v>-0.23312883435582821</v>
      </c>
      <c r="F87" s="154">
        <f t="shared" si="47"/>
        <v>-0.72796517954298146</v>
      </c>
      <c r="G87" s="154">
        <f t="shared" si="47"/>
        <v>-0.21011058451816747</v>
      </c>
      <c r="H87" s="154">
        <f t="shared" si="47"/>
        <v>-0.15824915824915825</v>
      </c>
      <c r="I87" s="154">
        <f t="shared" si="47"/>
        <v>-0.25925925925925924</v>
      </c>
      <c r="J87" s="154">
        <f t="shared" si="47"/>
        <v>-0.6418338108882522</v>
      </c>
      <c r="K87" s="154">
        <f t="shared" si="47"/>
        <v>-3.8461538461538464E-2</v>
      </c>
      <c r="L87" s="154">
        <f t="shared" si="47"/>
        <v>0.66666666666666663</v>
      </c>
      <c r="M87" s="154">
        <f t="shared" si="47"/>
        <v>0.17647058823529413</v>
      </c>
      <c r="N87" s="154">
        <f t="shared" si="47"/>
        <v>-2.5432098765432101</v>
      </c>
      <c r="O87" s="50"/>
    </row>
    <row r="88" spans="1:15">
      <c r="A88" s="39" t="s">
        <v>103</v>
      </c>
      <c r="B88" s="40" t="s">
        <v>194</v>
      </c>
      <c r="C88" s="41">
        <f>'Forecast Input'!D72</f>
        <v>2255.8121620000002</v>
      </c>
      <c r="D88" s="41">
        <f>'Forecast Input'!E72</f>
        <v>2409.3806140000002</v>
      </c>
      <c r="E88" s="41">
        <f>'Forecast Input'!F72</f>
        <v>577.10828400000003</v>
      </c>
      <c r="F88" s="41">
        <f>'Forecast Input'!G72</f>
        <v>0</v>
      </c>
      <c r="G88" s="41">
        <f>'Forecast Input'!H72</f>
        <v>0</v>
      </c>
      <c r="H88" s="41">
        <f>'Forecast Input'!I72</f>
        <v>0</v>
      </c>
      <c r="I88" s="41">
        <f>'Forecast Input'!J72</f>
        <v>0</v>
      </c>
      <c r="J88" s="41">
        <f>'Forecast Input'!K72</f>
        <v>0</v>
      </c>
      <c r="K88" s="41">
        <f>'Forecast Input'!L72</f>
        <v>0</v>
      </c>
      <c r="L88" s="41">
        <f>'Forecast Input'!M72</f>
        <v>0</v>
      </c>
      <c r="M88" s="41">
        <f>'Forecast Input'!N72</f>
        <v>0</v>
      </c>
      <c r="N88" s="41">
        <f>'Forecast Input'!O72</f>
        <v>0</v>
      </c>
      <c r="O88" s="42">
        <f>SUM(C88:N88)</f>
        <v>5242.3010599999998</v>
      </c>
    </row>
    <row r="89" spans="1:15">
      <c r="A89" s="43"/>
      <c r="B89" s="33" t="s">
        <v>23</v>
      </c>
      <c r="C89" s="22">
        <v>2084</v>
      </c>
      <c r="D89" s="22">
        <v>801</v>
      </c>
      <c r="E89" s="22">
        <v>476</v>
      </c>
      <c r="F89" s="22">
        <v>298</v>
      </c>
      <c r="G89" s="22">
        <v>766</v>
      </c>
      <c r="H89" s="22">
        <v>344</v>
      </c>
      <c r="I89" s="22">
        <v>900</v>
      </c>
      <c r="J89" s="22">
        <v>1217</v>
      </c>
      <c r="K89" s="22">
        <v>3448</v>
      </c>
      <c r="L89" s="22">
        <v>1275</v>
      </c>
      <c r="M89" s="22">
        <v>851</v>
      </c>
      <c r="N89" s="22">
        <v>299</v>
      </c>
      <c r="O89" s="44">
        <f>SUM(C89:N89)</f>
        <v>12759</v>
      </c>
    </row>
    <row r="90" spans="1:15">
      <c r="A90" s="45"/>
      <c r="B90" s="34" t="s">
        <v>160</v>
      </c>
      <c r="C90" s="17">
        <f>'Forecast Input'!D73</f>
        <v>1000</v>
      </c>
      <c r="D90" s="17">
        <f>'Forecast Input'!E73</f>
        <v>1000</v>
      </c>
      <c r="E90" s="17">
        <f>'Forecast Input'!F73</f>
        <v>1000</v>
      </c>
      <c r="F90" s="17">
        <f>'Forecast Input'!G73</f>
        <v>1000</v>
      </c>
      <c r="G90" s="17">
        <f>'Forecast Input'!H73</f>
        <v>1000</v>
      </c>
      <c r="H90" s="17">
        <f>'Forecast Input'!I73</f>
        <v>1000</v>
      </c>
      <c r="I90" s="17">
        <f>'Forecast Input'!J73</f>
        <v>1000</v>
      </c>
      <c r="J90" s="17">
        <f>'Forecast Input'!K73</f>
        <v>1000</v>
      </c>
      <c r="K90" s="17">
        <f>'Forecast Input'!L73</f>
        <v>1000</v>
      </c>
      <c r="L90" s="17">
        <f>'Forecast Input'!M73</f>
        <v>1000</v>
      </c>
      <c r="M90" s="17">
        <f>'Forecast Input'!N73</f>
        <v>1000</v>
      </c>
      <c r="N90" s="17">
        <f>'Forecast Input'!O73</f>
        <v>1000</v>
      </c>
      <c r="O90" s="46">
        <f>SUM(C90:N90)</f>
        <v>12000</v>
      </c>
    </row>
    <row r="91" spans="1:15">
      <c r="A91" s="47"/>
      <c r="B91" s="86" t="s">
        <v>196</v>
      </c>
      <c r="C91" s="153">
        <f>IF(C88=0,"-",C88-C90)</f>
        <v>1255.8121620000002</v>
      </c>
      <c r="D91" s="153">
        <f t="shared" ref="D91:N91" si="48">IF(D88=0,"-",D88-D90)</f>
        <v>1409.3806140000002</v>
      </c>
      <c r="E91" s="153">
        <f t="shared" si="48"/>
        <v>-422.89171599999997</v>
      </c>
      <c r="F91" s="153" t="str">
        <f t="shared" si="48"/>
        <v>-</v>
      </c>
      <c r="G91" s="153" t="str">
        <f t="shared" si="48"/>
        <v>-</v>
      </c>
      <c r="H91" s="153" t="str">
        <f t="shared" si="48"/>
        <v>-</v>
      </c>
      <c r="I91" s="153" t="str">
        <f t="shared" si="48"/>
        <v>-</v>
      </c>
      <c r="J91" s="153" t="str">
        <f t="shared" si="48"/>
        <v>-</v>
      </c>
      <c r="K91" s="153" t="str">
        <f t="shared" si="48"/>
        <v>-</v>
      </c>
      <c r="L91" s="153" t="str">
        <f t="shared" si="48"/>
        <v>-</v>
      </c>
      <c r="M91" s="153" t="str">
        <f t="shared" si="48"/>
        <v>-</v>
      </c>
      <c r="N91" s="153" t="str">
        <f t="shared" si="48"/>
        <v>-</v>
      </c>
      <c r="O91" s="48"/>
    </row>
    <row r="92" spans="1:15">
      <c r="A92" s="47"/>
      <c r="B92" s="86" t="s">
        <v>197</v>
      </c>
      <c r="C92" s="154">
        <f>IFERROR(C91/C88,"-")</f>
        <v>0.55670067887505259</v>
      </c>
      <c r="D92" s="154">
        <f t="shared" ref="D92:N92" si="49">IFERROR(D91/D88,"-")</f>
        <v>0.58495557149029176</v>
      </c>
      <c r="E92" s="154">
        <f t="shared" si="49"/>
        <v>-0.73277706753556138</v>
      </c>
      <c r="F92" s="154" t="str">
        <f t="shared" si="49"/>
        <v>-</v>
      </c>
      <c r="G92" s="154" t="str">
        <f t="shared" si="49"/>
        <v>-</v>
      </c>
      <c r="H92" s="154" t="str">
        <f t="shared" si="49"/>
        <v>-</v>
      </c>
      <c r="I92" s="154" t="str">
        <f t="shared" si="49"/>
        <v>-</v>
      </c>
      <c r="J92" s="154" t="str">
        <f t="shared" si="49"/>
        <v>-</v>
      </c>
      <c r="K92" s="154" t="str">
        <f t="shared" si="49"/>
        <v>-</v>
      </c>
      <c r="L92" s="154" t="str">
        <f t="shared" si="49"/>
        <v>-</v>
      </c>
      <c r="M92" s="154" t="str">
        <f t="shared" si="49"/>
        <v>-</v>
      </c>
      <c r="N92" s="154" t="str">
        <f t="shared" si="49"/>
        <v>-</v>
      </c>
      <c r="O92" s="48"/>
    </row>
    <row r="93" spans="1:15">
      <c r="A93" s="47"/>
      <c r="B93" s="86" t="s">
        <v>198</v>
      </c>
      <c r="C93" s="153">
        <f t="shared" ref="C93:N93" si="50">IFERROR(C90-C89,"-")</f>
        <v>-1084</v>
      </c>
      <c r="D93" s="153">
        <f t="shared" si="50"/>
        <v>199</v>
      </c>
      <c r="E93" s="153">
        <f t="shared" si="50"/>
        <v>524</v>
      </c>
      <c r="F93" s="153">
        <f t="shared" si="50"/>
        <v>702</v>
      </c>
      <c r="G93" s="153">
        <f t="shared" si="50"/>
        <v>234</v>
      </c>
      <c r="H93" s="153">
        <f t="shared" si="50"/>
        <v>656</v>
      </c>
      <c r="I93" s="153">
        <f t="shared" si="50"/>
        <v>100</v>
      </c>
      <c r="J93" s="153">
        <f t="shared" si="50"/>
        <v>-217</v>
      </c>
      <c r="K93" s="153">
        <f t="shared" si="50"/>
        <v>-2448</v>
      </c>
      <c r="L93" s="153">
        <f t="shared" si="50"/>
        <v>-275</v>
      </c>
      <c r="M93" s="153">
        <f t="shared" si="50"/>
        <v>149</v>
      </c>
      <c r="N93" s="153">
        <f t="shared" si="50"/>
        <v>701</v>
      </c>
      <c r="O93" s="48"/>
    </row>
    <row r="94" spans="1:15" ht="15.95" thickBot="1">
      <c r="A94" s="49"/>
      <c r="B94" s="155" t="s">
        <v>199</v>
      </c>
      <c r="C94" s="154">
        <f>IFERROR(C93/C89,"-")</f>
        <v>-0.52015355086372361</v>
      </c>
      <c r="D94" s="154">
        <f t="shared" ref="D94:N94" si="51">IFERROR(D93/D89,"-")</f>
        <v>0.24843945068664169</v>
      </c>
      <c r="E94" s="154">
        <f t="shared" si="51"/>
        <v>1.1008403361344539</v>
      </c>
      <c r="F94" s="154">
        <f t="shared" si="51"/>
        <v>2.3557046979865772</v>
      </c>
      <c r="G94" s="154">
        <f t="shared" si="51"/>
        <v>0.30548302872062666</v>
      </c>
      <c r="H94" s="154">
        <f t="shared" si="51"/>
        <v>1.9069767441860466</v>
      </c>
      <c r="I94" s="154">
        <f t="shared" si="51"/>
        <v>0.1111111111111111</v>
      </c>
      <c r="J94" s="154">
        <f t="shared" si="51"/>
        <v>-0.17830731306491374</v>
      </c>
      <c r="K94" s="154">
        <f t="shared" si="51"/>
        <v>-0.70997679814385151</v>
      </c>
      <c r="L94" s="154">
        <f t="shared" si="51"/>
        <v>-0.21568627450980393</v>
      </c>
      <c r="M94" s="154">
        <f t="shared" si="51"/>
        <v>0.17508813160987075</v>
      </c>
      <c r="N94" s="154">
        <f t="shared" si="51"/>
        <v>2.3444816053511706</v>
      </c>
      <c r="O94" s="50"/>
    </row>
    <row r="95" spans="1:15">
      <c r="A95" s="39" t="s">
        <v>104</v>
      </c>
      <c r="B95" s="40" t="s">
        <v>194</v>
      </c>
      <c r="C95" s="41">
        <f>'Forecast Input'!D74</f>
        <v>4598.3042939999996</v>
      </c>
      <c r="D95" s="41">
        <f>'Forecast Input'!E74</f>
        <v>1835.8361030000001</v>
      </c>
      <c r="E95" s="41">
        <f>'Forecast Input'!F74</f>
        <v>2995.1122559999999</v>
      </c>
      <c r="F95" s="41">
        <f>'Forecast Input'!G74</f>
        <v>0</v>
      </c>
      <c r="G95" s="41">
        <f>'Forecast Input'!H74</f>
        <v>0</v>
      </c>
      <c r="H95" s="41">
        <f>'Forecast Input'!I74</f>
        <v>0</v>
      </c>
      <c r="I95" s="41">
        <f>'Forecast Input'!J74</f>
        <v>0</v>
      </c>
      <c r="J95" s="41">
        <f>'Forecast Input'!K74</f>
        <v>0</v>
      </c>
      <c r="K95" s="41">
        <f>'Forecast Input'!L74</f>
        <v>0</v>
      </c>
      <c r="L95" s="41">
        <f>'Forecast Input'!M74</f>
        <v>0</v>
      </c>
      <c r="M95" s="41">
        <f>'Forecast Input'!N74</f>
        <v>0</v>
      </c>
      <c r="N95" s="41">
        <f>'Forecast Input'!O74</f>
        <v>0</v>
      </c>
      <c r="O95" s="42">
        <f>SUM(C95:N95)</f>
        <v>9429.2526529999996</v>
      </c>
    </row>
    <row r="96" spans="1:15">
      <c r="A96" s="43"/>
      <c r="B96" s="33" t="s">
        <v>23</v>
      </c>
      <c r="C96" s="22">
        <v>13633</v>
      </c>
      <c r="D96" s="22">
        <v>11228</v>
      </c>
      <c r="E96" s="22">
        <v>15021</v>
      </c>
      <c r="F96" s="22">
        <v>7016</v>
      </c>
      <c r="G96" s="22">
        <v>7528</v>
      </c>
      <c r="H96" s="22">
        <v>8290</v>
      </c>
      <c r="I96" s="22">
        <v>17115</v>
      </c>
      <c r="J96" s="22">
        <v>10308</v>
      </c>
      <c r="K96" s="22">
        <v>19007</v>
      </c>
      <c r="L96" s="22">
        <v>7929</v>
      </c>
      <c r="M96" s="22">
        <v>6643</v>
      </c>
      <c r="N96" s="22">
        <v>3278</v>
      </c>
      <c r="O96" s="44">
        <f>SUM(C96:N96)</f>
        <v>126996</v>
      </c>
    </row>
    <row r="97" spans="1:15">
      <c r="A97" s="45"/>
      <c r="B97" s="34" t="s">
        <v>160</v>
      </c>
      <c r="C97" s="17">
        <f>'Forecast Input'!D75</f>
        <v>15000</v>
      </c>
      <c r="D97" s="17">
        <f>'Forecast Input'!E75</f>
        <v>12000</v>
      </c>
      <c r="E97" s="17">
        <f>'Forecast Input'!F75</f>
        <v>10000</v>
      </c>
      <c r="F97" s="17">
        <f>'Forecast Input'!G75</f>
        <v>8000</v>
      </c>
      <c r="G97" s="17">
        <f>'Forecast Input'!H75</f>
        <v>3000</v>
      </c>
      <c r="H97" s="17">
        <f>'Forecast Input'!I75</f>
        <v>3000</v>
      </c>
      <c r="I97" s="17">
        <f>'Forecast Input'!J75</f>
        <v>3000</v>
      </c>
      <c r="J97" s="17">
        <f>'Forecast Input'!K75</f>
        <v>5000</v>
      </c>
      <c r="K97" s="17">
        <f>'Forecast Input'!L75</f>
        <v>10000</v>
      </c>
      <c r="L97" s="17">
        <f>'Forecast Input'!M75</f>
        <v>8000</v>
      </c>
      <c r="M97" s="17">
        <f>'Forecast Input'!N75</f>
        <v>8000</v>
      </c>
      <c r="N97" s="17">
        <f>'Forecast Input'!O75</f>
        <v>10000</v>
      </c>
      <c r="O97" s="46">
        <f>SUM(C97:N97)</f>
        <v>95000</v>
      </c>
    </row>
    <row r="98" spans="1:15">
      <c r="A98" s="47"/>
      <c r="B98" s="86" t="s">
        <v>196</v>
      </c>
      <c r="C98" s="153">
        <f>IF(C95=0,"-",C95-C97)</f>
        <v>-10401.695706</v>
      </c>
      <c r="D98" s="153">
        <f t="shared" ref="D98:N98" si="52">IF(D95=0,"-",D95-D97)</f>
        <v>-10164.163897</v>
      </c>
      <c r="E98" s="153">
        <f t="shared" si="52"/>
        <v>-7004.8877439999997</v>
      </c>
      <c r="F98" s="153" t="str">
        <f t="shared" si="52"/>
        <v>-</v>
      </c>
      <c r="G98" s="153" t="str">
        <f t="shared" si="52"/>
        <v>-</v>
      </c>
      <c r="H98" s="153" t="str">
        <f t="shared" si="52"/>
        <v>-</v>
      </c>
      <c r="I98" s="153" t="str">
        <f t="shared" si="52"/>
        <v>-</v>
      </c>
      <c r="J98" s="153" t="str">
        <f t="shared" si="52"/>
        <v>-</v>
      </c>
      <c r="K98" s="153" t="str">
        <f t="shared" si="52"/>
        <v>-</v>
      </c>
      <c r="L98" s="153" t="str">
        <f t="shared" si="52"/>
        <v>-</v>
      </c>
      <c r="M98" s="153" t="str">
        <f t="shared" si="52"/>
        <v>-</v>
      </c>
      <c r="N98" s="153" t="str">
        <f t="shared" si="52"/>
        <v>-</v>
      </c>
      <c r="O98" s="48"/>
    </row>
    <row r="99" spans="1:15">
      <c r="A99" s="47"/>
      <c r="B99" s="86" t="s">
        <v>197</v>
      </c>
      <c r="C99" s="154">
        <f>IFERROR(C98/C95,"-")</f>
        <v>-2.262072068517178</v>
      </c>
      <c r="D99" s="154">
        <f t="shared" ref="D99:N99" si="53">IFERROR(D98/D95,"-")</f>
        <v>-5.5365312188764602</v>
      </c>
      <c r="E99" s="154">
        <f t="shared" si="53"/>
        <v>-2.3387730226028629</v>
      </c>
      <c r="F99" s="154" t="str">
        <f t="shared" si="53"/>
        <v>-</v>
      </c>
      <c r="G99" s="154" t="str">
        <f t="shared" si="53"/>
        <v>-</v>
      </c>
      <c r="H99" s="154" t="str">
        <f t="shared" si="53"/>
        <v>-</v>
      </c>
      <c r="I99" s="154" t="str">
        <f t="shared" si="53"/>
        <v>-</v>
      </c>
      <c r="J99" s="154" t="str">
        <f t="shared" si="53"/>
        <v>-</v>
      </c>
      <c r="K99" s="154" t="str">
        <f t="shared" si="53"/>
        <v>-</v>
      </c>
      <c r="L99" s="154" t="str">
        <f t="shared" si="53"/>
        <v>-</v>
      </c>
      <c r="M99" s="154" t="str">
        <f t="shared" si="53"/>
        <v>-</v>
      </c>
      <c r="N99" s="154" t="str">
        <f t="shared" si="53"/>
        <v>-</v>
      </c>
      <c r="O99" s="48"/>
    </row>
    <row r="100" spans="1:15">
      <c r="A100" s="47"/>
      <c r="B100" s="86" t="s">
        <v>198</v>
      </c>
      <c r="C100" s="153">
        <f t="shared" ref="C100:N100" si="54">IFERROR(C97-C96,"-")</f>
        <v>1367</v>
      </c>
      <c r="D100" s="153">
        <f t="shared" si="54"/>
        <v>772</v>
      </c>
      <c r="E100" s="153">
        <f t="shared" si="54"/>
        <v>-5021</v>
      </c>
      <c r="F100" s="153">
        <f t="shared" si="54"/>
        <v>984</v>
      </c>
      <c r="G100" s="153">
        <f t="shared" si="54"/>
        <v>-4528</v>
      </c>
      <c r="H100" s="153">
        <f t="shared" si="54"/>
        <v>-5290</v>
      </c>
      <c r="I100" s="153">
        <f t="shared" si="54"/>
        <v>-14115</v>
      </c>
      <c r="J100" s="153">
        <f t="shared" si="54"/>
        <v>-5308</v>
      </c>
      <c r="K100" s="153">
        <f t="shared" si="54"/>
        <v>-9007</v>
      </c>
      <c r="L100" s="153">
        <f t="shared" si="54"/>
        <v>71</v>
      </c>
      <c r="M100" s="153">
        <f t="shared" si="54"/>
        <v>1357</v>
      </c>
      <c r="N100" s="153">
        <f t="shared" si="54"/>
        <v>6722</v>
      </c>
      <c r="O100" s="48"/>
    </row>
    <row r="101" spans="1:15" ht="15.95" thickBot="1">
      <c r="A101" s="49"/>
      <c r="B101" s="155" t="s">
        <v>199</v>
      </c>
      <c r="C101" s="154">
        <f>IFERROR(C100/C96,"-")</f>
        <v>0.10027140027873542</v>
      </c>
      <c r="D101" s="154">
        <f t="shared" ref="D101:N101" si="55">IFERROR(D100/D96,"-")</f>
        <v>6.8756679729248302E-2</v>
      </c>
      <c r="E101" s="154">
        <f t="shared" si="55"/>
        <v>-0.33426536182677585</v>
      </c>
      <c r="F101" s="154">
        <f t="shared" si="55"/>
        <v>0.1402508551881414</v>
      </c>
      <c r="G101" s="154">
        <f t="shared" si="55"/>
        <v>-0.60148777895855476</v>
      </c>
      <c r="H101" s="154">
        <f t="shared" si="55"/>
        <v>-0.63811821471652597</v>
      </c>
      <c r="I101" s="154">
        <f t="shared" si="55"/>
        <v>-0.82471516213847507</v>
      </c>
      <c r="J101" s="154">
        <f t="shared" si="55"/>
        <v>-0.51493985254171515</v>
      </c>
      <c r="K101" s="154">
        <f t="shared" si="55"/>
        <v>-0.47387804493081498</v>
      </c>
      <c r="L101" s="154">
        <f t="shared" si="55"/>
        <v>8.9544709294993065E-3</v>
      </c>
      <c r="M101" s="154">
        <f t="shared" si="55"/>
        <v>0.2042751768779166</v>
      </c>
      <c r="N101" s="154">
        <f t="shared" si="55"/>
        <v>2.0506406345332522</v>
      </c>
      <c r="O101" s="50"/>
    </row>
    <row r="102" spans="1:15">
      <c r="A102" s="39" t="s">
        <v>105</v>
      </c>
      <c r="B102" s="40" t="s">
        <v>194</v>
      </c>
      <c r="C102" s="41">
        <f>'Forecast Input'!D76</f>
        <v>-453.70795600000002</v>
      </c>
      <c r="D102" s="41">
        <f>'Forecast Input'!E76</f>
        <v>9662.2558310000004</v>
      </c>
      <c r="E102" s="41">
        <f>'Forecast Input'!F76</f>
        <v>4833.3067970000002</v>
      </c>
      <c r="F102" s="41">
        <f>'Forecast Input'!G76</f>
        <v>0</v>
      </c>
      <c r="G102" s="41">
        <f>'Forecast Input'!H76</f>
        <v>0</v>
      </c>
      <c r="H102" s="41">
        <f>'Forecast Input'!I76</f>
        <v>0</v>
      </c>
      <c r="I102" s="41">
        <f>'Forecast Input'!J76</f>
        <v>0</v>
      </c>
      <c r="J102" s="41">
        <f>'Forecast Input'!K76</f>
        <v>0</v>
      </c>
      <c r="K102" s="41">
        <f>'Forecast Input'!L76</f>
        <v>0</v>
      </c>
      <c r="L102" s="41">
        <f>'Forecast Input'!M76</f>
        <v>0</v>
      </c>
      <c r="M102" s="41">
        <f>'Forecast Input'!N76</f>
        <v>0</v>
      </c>
      <c r="N102" s="41">
        <f>'Forecast Input'!O76</f>
        <v>0</v>
      </c>
      <c r="O102" s="42">
        <f>SUM(C102:N102)</f>
        <v>14041.854672000001</v>
      </c>
    </row>
    <row r="103" spans="1:15">
      <c r="A103" s="43"/>
      <c r="B103" s="33" t="s">
        <v>23</v>
      </c>
      <c r="C103" s="22">
        <v>34483</v>
      </c>
      <c r="D103" s="22">
        <v>19971</v>
      </c>
      <c r="E103" s="22">
        <v>28827</v>
      </c>
      <c r="F103" s="22">
        <v>25736</v>
      </c>
      <c r="G103" s="22">
        <v>44506</v>
      </c>
      <c r="H103" s="22">
        <v>19168</v>
      </c>
      <c r="I103" s="22">
        <v>14420</v>
      </c>
      <c r="J103" s="22">
        <v>17259</v>
      </c>
      <c r="K103" s="22">
        <v>3235</v>
      </c>
      <c r="L103" s="22">
        <v>7053</v>
      </c>
      <c r="M103" s="22">
        <v>8963</v>
      </c>
      <c r="N103" s="22">
        <v>4775</v>
      </c>
      <c r="O103" s="44">
        <f>SUM(C103:N103)</f>
        <v>228396</v>
      </c>
    </row>
    <row r="104" spans="1:15">
      <c r="A104" s="45"/>
      <c r="B104" s="34" t="s">
        <v>160</v>
      </c>
      <c r="C104" s="17">
        <f>'Forecast Input'!D77</f>
        <v>5000</v>
      </c>
      <c r="D104" s="17">
        <f>'Forecast Input'!E77</f>
        <v>1000</v>
      </c>
      <c r="E104" s="17">
        <f>'Forecast Input'!F77</f>
        <v>1000</v>
      </c>
      <c r="F104" s="17">
        <f>'Forecast Input'!G77</f>
        <v>1000</v>
      </c>
      <c r="G104" s="17">
        <f>'Forecast Input'!H77</f>
        <v>1000</v>
      </c>
      <c r="H104" s="17">
        <f>'Forecast Input'!I77</f>
        <v>1000</v>
      </c>
      <c r="I104" s="17">
        <f>'Forecast Input'!J77</f>
        <v>1000</v>
      </c>
      <c r="J104" s="17">
        <f>'Forecast Input'!K77</f>
        <v>1000</v>
      </c>
      <c r="K104" s="17">
        <f>'Forecast Input'!L77</f>
        <v>1000</v>
      </c>
      <c r="L104" s="17">
        <f>'Forecast Input'!M77</f>
        <v>1000</v>
      </c>
      <c r="M104" s="17">
        <f>'Forecast Input'!N77</f>
        <v>1000</v>
      </c>
      <c r="N104" s="17">
        <f>'Forecast Input'!O77</f>
        <v>1000</v>
      </c>
      <c r="O104" s="46">
        <f>SUM(C104:N104)</f>
        <v>16000</v>
      </c>
    </row>
    <row r="105" spans="1:15">
      <c r="A105" s="47"/>
      <c r="B105" s="86" t="s">
        <v>196</v>
      </c>
      <c r="C105" s="153">
        <f>IF(C102=0,"-",C102-C104)</f>
        <v>-5453.7079560000002</v>
      </c>
      <c r="D105" s="153">
        <f t="shared" ref="D105:N105" si="56">IF(D102=0,"-",D102-D104)</f>
        <v>8662.2558310000004</v>
      </c>
      <c r="E105" s="153">
        <f t="shared" si="56"/>
        <v>3833.3067970000002</v>
      </c>
      <c r="F105" s="153" t="str">
        <f t="shared" si="56"/>
        <v>-</v>
      </c>
      <c r="G105" s="153" t="str">
        <f t="shared" si="56"/>
        <v>-</v>
      </c>
      <c r="H105" s="153" t="str">
        <f t="shared" si="56"/>
        <v>-</v>
      </c>
      <c r="I105" s="153" t="str">
        <f t="shared" si="56"/>
        <v>-</v>
      </c>
      <c r="J105" s="153" t="str">
        <f t="shared" si="56"/>
        <v>-</v>
      </c>
      <c r="K105" s="153" t="str">
        <f t="shared" si="56"/>
        <v>-</v>
      </c>
      <c r="L105" s="153" t="str">
        <f t="shared" si="56"/>
        <v>-</v>
      </c>
      <c r="M105" s="153" t="str">
        <f t="shared" si="56"/>
        <v>-</v>
      </c>
      <c r="N105" s="153" t="str">
        <f t="shared" si="56"/>
        <v>-</v>
      </c>
      <c r="O105" s="48"/>
    </row>
    <row r="106" spans="1:15">
      <c r="A106" s="47"/>
      <c r="B106" s="86" t="s">
        <v>197</v>
      </c>
      <c r="C106" s="154">
        <f>IFERROR(C105/C102,"-")</f>
        <v>12.02030487646992</v>
      </c>
      <c r="D106" s="154">
        <f t="shared" ref="D106:N106" si="57">IFERROR(D105/D102,"-")</f>
        <v>0.89650449982998381</v>
      </c>
      <c r="E106" s="154">
        <f t="shared" si="57"/>
        <v>0.79310231235048168</v>
      </c>
      <c r="F106" s="154" t="str">
        <f t="shared" si="57"/>
        <v>-</v>
      </c>
      <c r="G106" s="154" t="str">
        <f t="shared" si="57"/>
        <v>-</v>
      </c>
      <c r="H106" s="154" t="str">
        <f t="shared" si="57"/>
        <v>-</v>
      </c>
      <c r="I106" s="154" t="str">
        <f t="shared" si="57"/>
        <v>-</v>
      </c>
      <c r="J106" s="154" t="str">
        <f t="shared" si="57"/>
        <v>-</v>
      </c>
      <c r="K106" s="154" t="str">
        <f t="shared" si="57"/>
        <v>-</v>
      </c>
      <c r="L106" s="154" t="str">
        <f t="shared" si="57"/>
        <v>-</v>
      </c>
      <c r="M106" s="154" t="str">
        <f t="shared" si="57"/>
        <v>-</v>
      </c>
      <c r="N106" s="154" t="str">
        <f t="shared" si="57"/>
        <v>-</v>
      </c>
      <c r="O106" s="48"/>
    </row>
    <row r="107" spans="1:15">
      <c r="A107" s="47"/>
      <c r="B107" s="86" t="s">
        <v>198</v>
      </c>
      <c r="C107" s="153">
        <f t="shared" ref="C107:N107" si="58">IFERROR(C104-C103,"-")</f>
        <v>-29483</v>
      </c>
      <c r="D107" s="153">
        <f t="shared" si="58"/>
        <v>-18971</v>
      </c>
      <c r="E107" s="153">
        <f t="shared" si="58"/>
        <v>-27827</v>
      </c>
      <c r="F107" s="153">
        <f t="shared" si="58"/>
        <v>-24736</v>
      </c>
      <c r="G107" s="153">
        <f t="shared" si="58"/>
        <v>-43506</v>
      </c>
      <c r="H107" s="153">
        <f t="shared" si="58"/>
        <v>-18168</v>
      </c>
      <c r="I107" s="153">
        <f t="shared" si="58"/>
        <v>-13420</v>
      </c>
      <c r="J107" s="153">
        <f t="shared" si="58"/>
        <v>-16259</v>
      </c>
      <c r="K107" s="153">
        <f t="shared" si="58"/>
        <v>-2235</v>
      </c>
      <c r="L107" s="153">
        <f t="shared" si="58"/>
        <v>-6053</v>
      </c>
      <c r="M107" s="153">
        <f t="shared" si="58"/>
        <v>-7963</v>
      </c>
      <c r="N107" s="153">
        <f t="shared" si="58"/>
        <v>-3775</v>
      </c>
      <c r="O107" s="48"/>
    </row>
    <row r="108" spans="1:15" ht="15.95" thickBot="1">
      <c r="A108" s="49"/>
      <c r="B108" s="155" t="s">
        <v>199</v>
      </c>
      <c r="C108" s="154">
        <f>IFERROR(C107/C103,"-")</f>
        <v>-0.85500101499289505</v>
      </c>
      <c r="D108" s="154">
        <f t="shared" ref="D108:N108" si="59">IFERROR(D107/D103,"-")</f>
        <v>-0.94992739472234744</v>
      </c>
      <c r="E108" s="154">
        <f t="shared" si="59"/>
        <v>-0.96531029937211643</v>
      </c>
      <c r="F108" s="154">
        <f t="shared" si="59"/>
        <v>-0.96114392290954309</v>
      </c>
      <c r="G108" s="154">
        <f t="shared" si="59"/>
        <v>-0.97753111939963155</v>
      </c>
      <c r="H108" s="154">
        <f t="shared" si="59"/>
        <v>-0.94782971619365608</v>
      </c>
      <c r="I108" s="154">
        <f t="shared" si="59"/>
        <v>-0.93065187239944525</v>
      </c>
      <c r="J108" s="154">
        <f t="shared" si="59"/>
        <v>-0.94205921548177762</v>
      </c>
      <c r="K108" s="154">
        <f t="shared" si="59"/>
        <v>-0.69088098918083463</v>
      </c>
      <c r="L108" s="154">
        <f t="shared" si="59"/>
        <v>-0.85821636183184458</v>
      </c>
      <c r="M108" s="154">
        <f t="shared" si="59"/>
        <v>-0.88843021309829295</v>
      </c>
      <c r="N108" s="154">
        <f t="shared" si="59"/>
        <v>-0.79057591623036649</v>
      </c>
      <c r="O108" s="50"/>
    </row>
    <row r="109" spans="1:15">
      <c r="A109" s="39" t="s">
        <v>106</v>
      </c>
      <c r="B109" s="40" t="s">
        <v>194</v>
      </c>
      <c r="C109" s="41">
        <f>'Forecast Input'!D78</f>
        <v>2133.9535030000002</v>
      </c>
      <c r="D109" s="41">
        <f>'Forecast Input'!E78</f>
        <v>3677.5282699999998</v>
      </c>
      <c r="E109" s="41">
        <f>'Forecast Input'!F78</f>
        <v>1909.7400210000001</v>
      </c>
      <c r="F109" s="41">
        <f>'Forecast Input'!G78</f>
        <v>0</v>
      </c>
      <c r="G109" s="41">
        <f>'Forecast Input'!H78</f>
        <v>0</v>
      </c>
      <c r="H109" s="41">
        <f>'Forecast Input'!I78</f>
        <v>0</v>
      </c>
      <c r="I109" s="41">
        <f>'Forecast Input'!J78</f>
        <v>0</v>
      </c>
      <c r="J109" s="41">
        <f>'Forecast Input'!K78</f>
        <v>0</v>
      </c>
      <c r="K109" s="41">
        <f>'Forecast Input'!L78</f>
        <v>0</v>
      </c>
      <c r="L109" s="41">
        <f>'Forecast Input'!M78</f>
        <v>0</v>
      </c>
      <c r="M109" s="41">
        <f>'Forecast Input'!N78</f>
        <v>0</v>
      </c>
      <c r="N109" s="41">
        <f>'Forecast Input'!O78</f>
        <v>0</v>
      </c>
      <c r="O109" s="42">
        <f>SUM(C109:N109)</f>
        <v>7721.2217939999991</v>
      </c>
    </row>
    <row r="110" spans="1:15">
      <c r="A110" s="43"/>
      <c r="B110" s="33" t="s">
        <v>23</v>
      </c>
      <c r="C110" s="22">
        <v>3173</v>
      </c>
      <c r="D110" s="22">
        <v>3297</v>
      </c>
      <c r="E110" s="22">
        <v>176</v>
      </c>
      <c r="F110" s="22">
        <v>1266</v>
      </c>
      <c r="G110" s="22">
        <v>1219</v>
      </c>
      <c r="H110" s="22">
        <v>736</v>
      </c>
      <c r="I110" s="22">
        <v>3550</v>
      </c>
      <c r="J110" s="22">
        <v>6376</v>
      </c>
      <c r="K110" s="22">
        <v>2909</v>
      </c>
      <c r="L110" s="22">
        <v>5800</v>
      </c>
      <c r="M110" s="22">
        <v>3449</v>
      </c>
      <c r="N110" s="22">
        <v>6679</v>
      </c>
      <c r="O110" s="44">
        <f>SUM(C110:N110)</f>
        <v>38630</v>
      </c>
    </row>
    <row r="111" spans="1:15">
      <c r="A111" s="45"/>
      <c r="B111" s="34" t="s">
        <v>160</v>
      </c>
      <c r="C111" s="17">
        <f>'Forecast Input'!D79</f>
        <v>5000</v>
      </c>
      <c r="D111" s="17">
        <f>'Forecast Input'!E79</f>
        <v>3000</v>
      </c>
      <c r="E111" s="17">
        <f>'Forecast Input'!F79</f>
        <v>3000</v>
      </c>
      <c r="F111" s="17">
        <f>'Forecast Input'!G79</f>
        <v>2000</v>
      </c>
      <c r="G111" s="17">
        <f>'Forecast Input'!H79</f>
        <v>1000</v>
      </c>
      <c r="H111" s="17">
        <f>'Forecast Input'!I79</f>
        <v>1000</v>
      </c>
      <c r="I111" s="17">
        <f>'Forecast Input'!J79</f>
        <v>1000</v>
      </c>
      <c r="J111" s="17">
        <f>'Forecast Input'!K79</f>
        <v>1000</v>
      </c>
      <c r="K111" s="17">
        <f>'Forecast Input'!L79</f>
        <v>1000</v>
      </c>
      <c r="L111" s="17">
        <f>'Forecast Input'!M79</f>
        <v>1000</v>
      </c>
      <c r="M111" s="17">
        <f>'Forecast Input'!N79</f>
        <v>1000</v>
      </c>
      <c r="N111" s="17">
        <f>'Forecast Input'!O79</f>
        <v>1000</v>
      </c>
      <c r="O111" s="46">
        <f>SUM(C111:N111)</f>
        <v>21000</v>
      </c>
    </row>
    <row r="112" spans="1:15">
      <c r="A112" s="47"/>
      <c r="B112" s="86" t="s">
        <v>196</v>
      </c>
      <c r="C112" s="153">
        <f>IF(C109=0,"-",C109-C111)</f>
        <v>-2866.0464969999998</v>
      </c>
      <c r="D112" s="153">
        <f t="shared" ref="D112:N112" si="60">IF(D109=0,"-",D109-D111)</f>
        <v>677.52826999999979</v>
      </c>
      <c r="E112" s="153">
        <f t="shared" si="60"/>
        <v>-1090.2599789999999</v>
      </c>
      <c r="F112" s="153" t="str">
        <f t="shared" si="60"/>
        <v>-</v>
      </c>
      <c r="G112" s="153" t="str">
        <f t="shared" si="60"/>
        <v>-</v>
      </c>
      <c r="H112" s="153" t="str">
        <f t="shared" si="60"/>
        <v>-</v>
      </c>
      <c r="I112" s="153" t="str">
        <f t="shared" si="60"/>
        <v>-</v>
      </c>
      <c r="J112" s="153" t="str">
        <f t="shared" si="60"/>
        <v>-</v>
      </c>
      <c r="K112" s="153" t="str">
        <f t="shared" si="60"/>
        <v>-</v>
      </c>
      <c r="L112" s="153" t="str">
        <f t="shared" si="60"/>
        <v>-</v>
      </c>
      <c r="M112" s="153" t="str">
        <f t="shared" si="60"/>
        <v>-</v>
      </c>
      <c r="N112" s="153" t="str">
        <f t="shared" si="60"/>
        <v>-</v>
      </c>
      <c r="O112" s="48"/>
    </row>
    <row r="113" spans="1:15">
      <c r="A113" s="47"/>
      <c r="B113" s="86" t="s">
        <v>197</v>
      </c>
      <c r="C113" s="154">
        <f>IFERROR(C112/C109,"-")</f>
        <v>-1.3430688592655806</v>
      </c>
      <c r="D113" s="154">
        <f t="shared" ref="D113:N113" si="61">IFERROR(D112/D109,"-")</f>
        <v>0.18423468706604934</v>
      </c>
      <c r="E113" s="154">
        <f t="shared" si="61"/>
        <v>-0.57089445003572026</v>
      </c>
      <c r="F113" s="154" t="str">
        <f t="shared" si="61"/>
        <v>-</v>
      </c>
      <c r="G113" s="154" t="str">
        <f t="shared" si="61"/>
        <v>-</v>
      </c>
      <c r="H113" s="154" t="str">
        <f t="shared" si="61"/>
        <v>-</v>
      </c>
      <c r="I113" s="154" t="str">
        <f t="shared" si="61"/>
        <v>-</v>
      </c>
      <c r="J113" s="154" t="str">
        <f t="shared" si="61"/>
        <v>-</v>
      </c>
      <c r="K113" s="154" t="str">
        <f t="shared" si="61"/>
        <v>-</v>
      </c>
      <c r="L113" s="154" t="str">
        <f t="shared" si="61"/>
        <v>-</v>
      </c>
      <c r="M113" s="154" t="str">
        <f t="shared" si="61"/>
        <v>-</v>
      </c>
      <c r="N113" s="154" t="str">
        <f t="shared" si="61"/>
        <v>-</v>
      </c>
      <c r="O113" s="48"/>
    </row>
    <row r="114" spans="1:15">
      <c r="A114" s="47"/>
      <c r="B114" s="86" t="s">
        <v>198</v>
      </c>
      <c r="C114" s="153">
        <f t="shared" ref="C114:N114" si="62">IFERROR(C111-C110,"-")</f>
        <v>1827</v>
      </c>
      <c r="D114" s="153">
        <f t="shared" si="62"/>
        <v>-297</v>
      </c>
      <c r="E114" s="153">
        <f t="shared" si="62"/>
        <v>2824</v>
      </c>
      <c r="F114" s="153">
        <f t="shared" si="62"/>
        <v>734</v>
      </c>
      <c r="G114" s="153">
        <f t="shared" si="62"/>
        <v>-219</v>
      </c>
      <c r="H114" s="153">
        <f t="shared" si="62"/>
        <v>264</v>
      </c>
      <c r="I114" s="153">
        <f t="shared" si="62"/>
        <v>-2550</v>
      </c>
      <c r="J114" s="153">
        <f t="shared" si="62"/>
        <v>-5376</v>
      </c>
      <c r="K114" s="153">
        <f t="shared" si="62"/>
        <v>-1909</v>
      </c>
      <c r="L114" s="153">
        <f t="shared" si="62"/>
        <v>-4800</v>
      </c>
      <c r="M114" s="153">
        <f t="shared" si="62"/>
        <v>-2449</v>
      </c>
      <c r="N114" s="153">
        <f t="shared" si="62"/>
        <v>-5679</v>
      </c>
      <c r="O114" s="48"/>
    </row>
    <row r="115" spans="1:15" ht="15.95" thickBot="1">
      <c r="A115" s="49"/>
      <c r="B115" s="155" t="s">
        <v>199</v>
      </c>
      <c r="C115" s="154">
        <f>IFERROR(C114/C110,"-")</f>
        <v>0.57579577686731798</v>
      </c>
      <c r="D115" s="154">
        <f t="shared" ref="D115:N115" si="63">IFERROR(D114/D110,"-")</f>
        <v>-9.0081892629663332E-2</v>
      </c>
      <c r="E115" s="154">
        <f t="shared" si="63"/>
        <v>16.045454545454547</v>
      </c>
      <c r="F115" s="154">
        <f t="shared" si="63"/>
        <v>0.57977883096366511</v>
      </c>
      <c r="G115" s="154">
        <f t="shared" si="63"/>
        <v>-0.17965545529122232</v>
      </c>
      <c r="H115" s="154">
        <f t="shared" si="63"/>
        <v>0.35869565217391303</v>
      </c>
      <c r="I115" s="154">
        <f t="shared" si="63"/>
        <v>-0.71830985915492962</v>
      </c>
      <c r="J115" s="154">
        <f t="shared" si="63"/>
        <v>-0.84316185696361357</v>
      </c>
      <c r="K115" s="154">
        <f t="shared" si="63"/>
        <v>-0.65623925747679612</v>
      </c>
      <c r="L115" s="154">
        <f t="shared" si="63"/>
        <v>-0.82758620689655171</v>
      </c>
      <c r="M115" s="154">
        <f t="shared" si="63"/>
        <v>-0.7100608872136851</v>
      </c>
      <c r="N115" s="154">
        <f t="shared" si="63"/>
        <v>-0.85027698757298997</v>
      </c>
      <c r="O115" s="50"/>
    </row>
    <row r="116" spans="1:15">
      <c r="A116" s="39" t="s">
        <v>107</v>
      </c>
      <c r="B116" s="40" t="s">
        <v>194</v>
      </c>
      <c r="C116" s="41">
        <f>'Forecast Input'!D80</f>
        <v>142.196808</v>
      </c>
      <c r="D116" s="41">
        <f>'Forecast Input'!E80</f>
        <v>69.952983000000003</v>
      </c>
      <c r="E116" s="41">
        <f>'Forecast Input'!F80</f>
        <v>-849.13659600000005</v>
      </c>
      <c r="F116" s="41">
        <f>'Forecast Input'!G80</f>
        <v>0</v>
      </c>
      <c r="G116" s="41">
        <f>'Forecast Input'!H80</f>
        <v>0</v>
      </c>
      <c r="H116" s="41">
        <f>'Forecast Input'!I80</f>
        <v>0</v>
      </c>
      <c r="I116" s="41">
        <f>'Forecast Input'!J80</f>
        <v>0</v>
      </c>
      <c r="J116" s="41">
        <f>'Forecast Input'!K80</f>
        <v>0</v>
      </c>
      <c r="K116" s="41">
        <f>'Forecast Input'!L80</f>
        <v>0</v>
      </c>
      <c r="L116" s="41">
        <f>'Forecast Input'!M80</f>
        <v>0</v>
      </c>
      <c r="M116" s="41">
        <f>'Forecast Input'!N80</f>
        <v>0</v>
      </c>
      <c r="N116" s="41">
        <f>'Forecast Input'!O80</f>
        <v>0</v>
      </c>
      <c r="O116" s="42">
        <f>SUM(C116:N116)</f>
        <v>-636.986805</v>
      </c>
    </row>
    <row r="117" spans="1:15">
      <c r="A117" s="43"/>
      <c r="B117" s="33" t="s">
        <v>23</v>
      </c>
      <c r="C117" s="22">
        <v>5026</v>
      </c>
      <c r="D117" s="22">
        <v>2173</v>
      </c>
      <c r="E117" s="22">
        <v>903</v>
      </c>
      <c r="F117" s="22">
        <v>2779</v>
      </c>
      <c r="G117" s="22">
        <v>1787</v>
      </c>
      <c r="H117" s="22">
        <v>297</v>
      </c>
      <c r="I117" s="22">
        <v>963</v>
      </c>
      <c r="J117" s="22">
        <v>1403</v>
      </c>
      <c r="K117" s="22">
        <v>1896</v>
      </c>
      <c r="L117" s="22">
        <v>1090</v>
      </c>
      <c r="M117" s="22">
        <v>2070</v>
      </c>
      <c r="N117" s="22">
        <v>2602</v>
      </c>
      <c r="O117" s="44">
        <f>SUM(C117:N117)</f>
        <v>22989</v>
      </c>
    </row>
    <row r="118" spans="1:15">
      <c r="A118" s="45"/>
      <c r="B118" s="34" t="s">
        <v>160</v>
      </c>
      <c r="C118" s="17">
        <f>'Forecast Input'!D81</f>
        <v>500</v>
      </c>
      <c r="D118" s="17">
        <f>'Forecast Input'!E81</f>
        <v>500</v>
      </c>
      <c r="E118" s="17">
        <f>'Forecast Input'!F81</f>
        <v>500</v>
      </c>
      <c r="F118" s="17">
        <f>'Forecast Input'!G81</f>
        <v>500</v>
      </c>
      <c r="G118" s="17">
        <f>'Forecast Input'!H81</f>
        <v>500</v>
      </c>
      <c r="H118" s="17">
        <f>'Forecast Input'!I81</f>
        <v>500</v>
      </c>
      <c r="I118" s="17">
        <f>'Forecast Input'!J81</f>
        <v>500</v>
      </c>
      <c r="J118" s="17">
        <f>'Forecast Input'!K81</f>
        <v>500</v>
      </c>
      <c r="K118" s="17">
        <f>'Forecast Input'!L81</f>
        <v>500</v>
      </c>
      <c r="L118" s="17">
        <f>'Forecast Input'!M81</f>
        <v>500</v>
      </c>
      <c r="M118" s="17">
        <f>'Forecast Input'!N81</f>
        <v>500</v>
      </c>
      <c r="N118" s="17">
        <f>'Forecast Input'!O81</f>
        <v>500</v>
      </c>
      <c r="O118" s="46">
        <f>SUM(C118:N118)</f>
        <v>6000</v>
      </c>
    </row>
    <row r="119" spans="1:15">
      <c r="A119" s="47"/>
      <c r="B119" s="86" t="s">
        <v>196</v>
      </c>
      <c r="C119" s="153">
        <f>IF(C116=0,"-",C116-C118)</f>
        <v>-357.80319199999997</v>
      </c>
      <c r="D119" s="153">
        <f t="shared" ref="D119:N119" si="64">IF(D116=0,"-",D116-D118)</f>
        <v>-430.04701699999998</v>
      </c>
      <c r="E119" s="153">
        <f t="shared" si="64"/>
        <v>-1349.1365960000001</v>
      </c>
      <c r="F119" s="153" t="str">
        <f t="shared" si="64"/>
        <v>-</v>
      </c>
      <c r="G119" s="153" t="str">
        <f t="shared" si="64"/>
        <v>-</v>
      </c>
      <c r="H119" s="153" t="str">
        <f t="shared" si="64"/>
        <v>-</v>
      </c>
      <c r="I119" s="153" t="str">
        <f t="shared" si="64"/>
        <v>-</v>
      </c>
      <c r="J119" s="153" t="str">
        <f t="shared" si="64"/>
        <v>-</v>
      </c>
      <c r="K119" s="153" t="str">
        <f t="shared" si="64"/>
        <v>-</v>
      </c>
      <c r="L119" s="153" t="str">
        <f t="shared" si="64"/>
        <v>-</v>
      </c>
      <c r="M119" s="153" t="str">
        <f t="shared" si="64"/>
        <v>-</v>
      </c>
      <c r="N119" s="153" t="str">
        <f t="shared" si="64"/>
        <v>-</v>
      </c>
      <c r="O119" s="48"/>
    </row>
    <row r="120" spans="1:15">
      <c r="A120" s="47"/>
      <c r="B120" s="86" t="s">
        <v>197</v>
      </c>
      <c r="C120" s="154">
        <f>IFERROR(C119/C116,"-")</f>
        <v>-2.5162533324939331</v>
      </c>
      <c r="D120" s="154">
        <f t="shared" ref="D120:N120" si="65">IFERROR(D119/D116,"-")</f>
        <v>-6.1476580205307325</v>
      </c>
      <c r="E120" s="154">
        <f t="shared" si="65"/>
        <v>1.5888334130872861</v>
      </c>
      <c r="F120" s="154" t="str">
        <f t="shared" si="65"/>
        <v>-</v>
      </c>
      <c r="G120" s="154" t="str">
        <f t="shared" si="65"/>
        <v>-</v>
      </c>
      <c r="H120" s="154" t="str">
        <f t="shared" si="65"/>
        <v>-</v>
      </c>
      <c r="I120" s="154" t="str">
        <f t="shared" si="65"/>
        <v>-</v>
      </c>
      <c r="J120" s="154" t="str">
        <f t="shared" si="65"/>
        <v>-</v>
      </c>
      <c r="K120" s="154" t="str">
        <f t="shared" si="65"/>
        <v>-</v>
      </c>
      <c r="L120" s="154" t="str">
        <f t="shared" si="65"/>
        <v>-</v>
      </c>
      <c r="M120" s="154" t="str">
        <f t="shared" si="65"/>
        <v>-</v>
      </c>
      <c r="N120" s="154" t="str">
        <f t="shared" si="65"/>
        <v>-</v>
      </c>
      <c r="O120" s="48"/>
    </row>
    <row r="121" spans="1:15">
      <c r="A121" s="47"/>
      <c r="B121" s="86" t="s">
        <v>198</v>
      </c>
      <c r="C121" s="153">
        <f t="shared" ref="C121:N121" si="66">IFERROR(C118-C117,"-")</f>
        <v>-4526</v>
      </c>
      <c r="D121" s="153">
        <f t="shared" si="66"/>
        <v>-1673</v>
      </c>
      <c r="E121" s="153">
        <f t="shared" si="66"/>
        <v>-403</v>
      </c>
      <c r="F121" s="153">
        <f t="shared" si="66"/>
        <v>-2279</v>
      </c>
      <c r="G121" s="153">
        <f t="shared" si="66"/>
        <v>-1287</v>
      </c>
      <c r="H121" s="153">
        <f t="shared" si="66"/>
        <v>203</v>
      </c>
      <c r="I121" s="153">
        <f t="shared" si="66"/>
        <v>-463</v>
      </c>
      <c r="J121" s="153">
        <f t="shared" si="66"/>
        <v>-903</v>
      </c>
      <c r="K121" s="153">
        <f t="shared" si="66"/>
        <v>-1396</v>
      </c>
      <c r="L121" s="153">
        <f t="shared" si="66"/>
        <v>-590</v>
      </c>
      <c r="M121" s="153">
        <f t="shared" si="66"/>
        <v>-1570</v>
      </c>
      <c r="N121" s="153">
        <f t="shared" si="66"/>
        <v>-2102</v>
      </c>
      <c r="O121" s="48"/>
    </row>
    <row r="122" spans="1:15" ht="15.95" thickBot="1">
      <c r="A122" s="49"/>
      <c r="B122" s="155" t="s">
        <v>199</v>
      </c>
      <c r="C122" s="154">
        <f>IFERROR(C121/C117,"-")</f>
        <v>-0.90051730998806212</v>
      </c>
      <c r="D122" s="154">
        <f t="shared" ref="D122:N122" si="67">IFERROR(D121/D117,"-")</f>
        <v>-0.76990335941095256</v>
      </c>
      <c r="E122" s="154">
        <f t="shared" si="67"/>
        <v>-0.44629014396456257</v>
      </c>
      <c r="F122" s="154">
        <f t="shared" si="67"/>
        <v>-0.82007916516732637</v>
      </c>
      <c r="G122" s="154">
        <f t="shared" si="67"/>
        <v>-0.72020145495243426</v>
      </c>
      <c r="H122" s="154">
        <f t="shared" si="67"/>
        <v>0.6835016835016835</v>
      </c>
      <c r="I122" s="154">
        <f t="shared" si="67"/>
        <v>-0.48078920041536866</v>
      </c>
      <c r="J122" s="154">
        <f t="shared" si="67"/>
        <v>-0.64362081254454739</v>
      </c>
      <c r="K122" s="154">
        <f t="shared" si="67"/>
        <v>-0.73628691983122363</v>
      </c>
      <c r="L122" s="154">
        <f t="shared" si="67"/>
        <v>-0.54128440366972475</v>
      </c>
      <c r="M122" s="154">
        <f t="shared" si="67"/>
        <v>-0.75845410628019327</v>
      </c>
      <c r="N122" s="154">
        <f t="shared" si="67"/>
        <v>-0.80784012298232133</v>
      </c>
      <c r="O122" s="50"/>
    </row>
    <row r="123" spans="1:15">
      <c r="A123" s="39" t="s">
        <v>108</v>
      </c>
      <c r="B123" s="40" t="s">
        <v>194</v>
      </c>
      <c r="C123" s="41">
        <f>'Forecast Input'!D82</f>
        <v>4363.5493809999998</v>
      </c>
      <c r="D123" s="41">
        <f>'Forecast Input'!E82</f>
        <v>5298.6386929999999</v>
      </c>
      <c r="E123" s="41">
        <f>'Forecast Input'!F82</f>
        <v>5417.3922110000003</v>
      </c>
      <c r="F123" s="41">
        <f>'Forecast Input'!G82</f>
        <v>0</v>
      </c>
      <c r="G123" s="41">
        <f>'Forecast Input'!H82</f>
        <v>0</v>
      </c>
      <c r="H123" s="41">
        <f>'Forecast Input'!I82</f>
        <v>0</v>
      </c>
      <c r="I123" s="41">
        <f>'Forecast Input'!J82</f>
        <v>0</v>
      </c>
      <c r="J123" s="41">
        <f>'Forecast Input'!K82</f>
        <v>0</v>
      </c>
      <c r="K123" s="41">
        <f>'Forecast Input'!L82</f>
        <v>0</v>
      </c>
      <c r="L123" s="41">
        <f>'Forecast Input'!M82</f>
        <v>0</v>
      </c>
      <c r="M123" s="41">
        <f>'Forecast Input'!N82</f>
        <v>0</v>
      </c>
      <c r="N123" s="41">
        <f>'Forecast Input'!O82</f>
        <v>0</v>
      </c>
      <c r="O123" s="42">
        <f>SUM(C123:N123)</f>
        <v>15079.580285</v>
      </c>
    </row>
    <row r="124" spans="1:15">
      <c r="A124" s="43"/>
      <c r="B124" s="33" t="s">
        <v>23</v>
      </c>
      <c r="C124" s="22">
        <v>41923</v>
      </c>
      <c r="D124" s="22">
        <v>34414</v>
      </c>
      <c r="E124" s="22">
        <v>25151</v>
      </c>
      <c r="F124" s="22">
        <v>20056</v>
      </c>
      <c r="G124" s="22">
        <v>40649</v>
      </c>
      <c r="H124" s="22">
        <v>18204</v>
      </c>
      <c r="I124" s="22">
        <v>12061</v>
      </c>
      <c r="J124" s="22">
        <v>-11280</v>
      </c>
      <c r="K124" s="22">
        <v>30585</v>
      </c>
      <c r="L124" s="22">
        <v>22801</v>
      </c>
      <c r="M124" s="22">
        <v>14546</v>
      </c>
      <c r="N124" s="22">
        <v>4135</v>
      </c>
      <c r="O124" s="44">
        <f>SUM(C124:N124)</f>
        <v>253245</v>
      </c>
    </row>
    <row r="125" spans="1:15">
      <c r="A125" s="45"/>
      <c r="B125" s="34" t="s">
        <v>160</v>
      </c>
      <c r="C125" s="17">
        <f>'Forecast Input'!D83</f>
        <v>20000</v>
      </c>
      <c r="D125" s="17">
        <f>'Forecast Input'!E83</f>
        <v>10000</v>
      </c>
      <c r="E125" s="17">
        <f>'Forecast Input'!F83</f>
        <v>5000</v>
      </c>
      <c r="F125" s="17">
        <f>'Forecast Input'!G83</f>
        <v>3000</v>
      </c>
      <c r="G125" s="17">
        <f>'Forecast Input'!H83</f>
        <v>3000</v>
      </c>
      <c r="H125" s="17">
        <f>'Forecast Input'!I83</f>
        <v>3000</v>
      </c>
      <c r="I125" s="17">
        <f>'Forecast Input'!J83</f>
        <v>3000</v>
      </c>
      <c r="J125" s="17">
        <f>'Forecast Input'!K83</f>
        <v>4000</v>
      </c>
      <c r="K125" s="17">
        <f>'Forecast Input'!L83</f>
        <v>8000</v>
      </c>
      <c r="L125" s="17">
        <f>'Forecast Input'!M83</f>
        <v>5000</v>
      </c>
      <c r="M125" s="17">
        <f>'Forecast Input'!N83</f>
        <v>5000</v>
      </c>
      <c r="N125" s="17">
        <f>'Forecast Input'!O83</f>
        <v>5000</v>
      </c>
      <c r="O125" s="46">
        <f>SUM(C125:N125)</f>
        <v>74000</v>
      </c>
    </row>
    <row r="126" spans="1:15">
      <c r="A126" s="47"/>
      <c r="B126" s="86" t="s">
        <v>196</v>
      </c>
      <c r="C126" s="153">
        <f>IF(C123=0,"-",C123-C125)</f>
        <v>-15636.450618999999</v>
      </c>
      <c r="D126" s="153">
        <f t="shared" ref="D126:N126" si="68">IF(D123=0,"-",D123-D125)</f>
        <v>-4701.3613070000001</v>
      </c>
      <c r="E126" s="153">
        <f t="shared" si="68"/>
        <v>417.39221100000032</v>
      </c>
      <c r="F126" s="153" t="str">
        <f t="shared" si="68"/>
        <v>-</v>
      </c>
      <c r="G126" s="153" t="str">
        <f t="shared" si="68"/>
        <v>-</v>
      </c>
      <c r="H126" s="153" t="str">
        <f t="shared" si="68"/>
        <v>-</v>
      </c>
      <c r="I126" s="153" t="str">
        <f t="shared" si="68"/>
        <v>-</v>
      </c>
      <c r="J126" s="153" t="str">
        <f t="shared" si="68"/>
        <v>-</v>
      </c>
      <c r="K126" s="153" t="str">
        <f t="shared" si="68"/>
        <v>-</v>
      </c>
      <c r="L126" s="153" t="str">
        <f t="shared" si="68"/>
        <v>-</v>
      </c>
      <c r="M126" s="153" t="str">
        <f t="shared" si="68"/>
        <v>-</v>
      </c>
      <c r="N126" s="153" t="str">
        <f t="shared" si="68"/>
        <v>-</v>
      </c>
      <c r="O126" s="48"/>
    </row>
    <row r="127" spans="1:15">
      <c r="A127" s="47"/>
      <c r="B127" s="86" t="s">
        <v>197</v>
      </c>
      <c r="C127" s="154">
        <f>IFERROR(C126/C123,"-")</f>
        <v>-3.5834246971250217</v>
      </c>
      <c r="D127" s="154">
        <f t="shared" ref="D127:N127" si="69">IFERROR(D126/D123,"-")</f>
        <v>-0.8872772006913664</v>
      </c>
      <c r="E127" s="154">
        <f t="shared" si="69"/>
        <v>7.7046703421710272E-2</v>
      </c>
      <c r="F127" s="154" t="str">
        <f t="shared" si="69"/>
        <v>-</v>
      </c>
      <c r="G127" s="154" t="str">
        <f t="shared" si="69"/>
        <v>-</v>
      </c>
      <c r="H127" s="154" t="str">
        <f t="shared" si="69"/>
        <v>-</v>
      </c>
      <c r="I127" s="154" t="str">
        <f t="shared" si="69"/>
        <v>-</v>
      </c>
      <c r="J127" s="154" t="str">
        <f t="shared" si="69"/>
        <v>-</v>
      </c>
      <c r="K127" s="154" t="str">
        <f t="shared" si="69"/>
        <v>-</v>
      </c>
      <c r="L127" s="154" t="str">
        <f t="shared" si="69"/>
        <v>-</v>
      </c>
      <c r="M127" s="154" t="str">
        <f t="shared" si="69"/>
        <v>-</v>
      </c>
      <c r="N127" s="154" t="str">
        <f t="shared" si="69"/>
        <v>-</v>
      </c>
      <c r="O127" s="48"/>
    </row>
    <row r="128" spans="1:15">
      <c r="A128" s="47"/>
      <c r="B128" s="86" t="s">
        <v>198</v>
      </c>
      <c r="C128" s="153">
        <f t="shared" ref="C128:N128" si="70">IFERROR(C125-C124,"-")</f>
        <v>-21923</v>
      </c>
      <c r="D128" s="153">
        <f t="shared" si="70"/>
        <v>-24414</v>
      </c>
      <c r="E128" s="153">
        <f t="shared" si="70"/>
        <v>-20151</v>
      </c>
      <c r="F128" s="153">
        <f t="shared" si="70"/>
        <v>-17056</v>
      </c>
      <c r="G128" s="153">
        <f t="shared" si="70"/>
        <v>-37649</v>
      </c>
      <c r="H128" s="153">
        <f t="shared" si="70"/>
        <v>-15204</v>
      </c>
      <c r="I128" s="153">
        <f t="shared" si="70"/>
        <v>-9061</v>
      </c>
      <c r="J128" s="153">
        <f t="shared" si="70"/>
        <v>15280</v>
      </c>
      <c r="K128" s="153">
        <f t="shared" si="70"/>
        <v>-22585</v>
      </c>
      <c r="L128" s="153">
        <f t="shared" si="70"/>
        <v>-17801</v>
      </c>
      <c r="M128" s="153">
        <f t="shared" si="70"/>
        <v>-9546</v>
      </c>
      <c r="N128" s="153">
        <f t="shared" si="70"/>
        <v>865</v>
      </c>
      <c r="O128" s="48"/>
    </row>
    <row r="129" spans="1:15" ht="15.95" thickBot="1">
      <c r="A129" s="49"/>
      <c r="B129" s="155" t="s">
        <v>199</v>
      </c>
      <c r="C129" s="154">
        <f>IFERROR(C128/C124,"-")</f>
        <v>-0.52293490446771462</v>
      </c>
      <c r="D129" s="154">
        <f t="shared" ref="D129:N129" si="71">IFERROR(D128/D124,"-")</f>
        <v>-0.70942058464578373</v>
      </c>
      <c r="E129" s="154">
        <f t="shared" si="71"/>
        <v>-0.80120074748518944</v>
      </c>
      <c r="F129" s="154">
        <f t="shared" si="71"/>
        <v>-0.85041882728360585</v>
      </c>
      <c r="G129" s="154">
        <f t="shared" si="71"/>
        <v>-0.92619744643164659</v>
      </c>
      <c r="H129" s="154">
        <f t="shared" si="71"/>
        <v>-0.83520105471324979</v>
      </c>
      <c r="I129" s="154">
        <f t="shared" si="71"/>
        <v>-0.75126440593648947</v>
      </c>
      <c r="J129" s="154">
        <f t="shared" si="71"/>
        <v>-1.3546099290780143</v>
      </c>
      <c r="K129" s="154">
        <f t="shared" si="71"/>
        <v>-0.73843387281347062</v>
      </c>
      <c r="L129" s="154">
        <f t="shared" si="71"/>
        <v>-0.78071137230823207</v>
      </c>
      <c r="M129" s="154">
        <f t="shared" si="71"/>
        <v>-0.65626289014161965</v>
      </c>
      <c r="N129" s="154">
        <f t="shared" si="71"/>
        <v>0.20918984280532044</v>
      </c>
      <c r="O129" s="50"/>
    </row>
    <row r="130" spans="1:15">
      <c r="A130" s="39" t="s">
        <v>109</v>
      </c>
      <c r="B130" s="40" t="s">
        <v>194</v>
      </c>
      <c r="C130" s="41">
        <f>'Forecast Input'!D84</f>
        <v>936.26584100000002</v>
      </c>
      <c r="D130" s="41">
        <f>'Forecast Input'!E84</f>
        <v>-432.94900699999999</v>
      </c>
      <c r="E130" s="41">
        <f>'Forecast Input'!F84</f>
        <v>-426.49199299999998</v>
      </c>
      <c r="F130" s="41">
        <f>'Forecast Input'!G84</f>
        <v>0</v>
      </c>
      <c r="G130" s="41">
        <f>'Forecast Input'!H84</f>
        <v>0</v>
      </c>
      <c r="H130" s="41">
        <f>'Forecast Input'!I84</f>
        <v>0</v>
      </c>
      <c r="I130" s="41">
        <f>'Forecast Input'!J84</f>
        <v>0</v>
      </c>
      <c r="J130" s="41">
        <f>'Forecast Input'!K84</f>
        <v>0</v>
      </c>
      <c r="K130" s="41">
        <f>'Forecast Input'!L84</f>
        <v>0</v>
      </c>
      <c r="L130" s="41">
        <f>'Forecast Input'!M84</f>
        <v>0</v>
      </c>
      <c r="M130" s="41">
        <f>'Forecast Input'!N84</f>
        <v>0</v>
      </c>
      <c r="N130" s="41">
        <f>'Forecast Input'!O84</f>
        <v>0</v>
      </c>
      <c r="O130" s="42">
        <f>SUM(C130:N130)</f>
        <v>76.824841000000049</v>
      </c>
    </row>
    <row r="131" spans="1:15">
      <c r="A131" s="43"/>
      <c r="B131" s="33" t="s">
        <v>23</v>
      </c>
      <c r="C131" s="22">
        <v>3531</v>
      </c>
      <c r="D131" s="22">
        <v>8892</v>
      </c>
      <c r="E131" s="22">
        <v>11022</v>
      </c>
      <c r="F131" s="22">
        <v>12031</v>
      </c>
      <c r="G131" s="22">
        <v>9140</v>
      </c>
      <c r="H131" s="22">
        <v>9701</v>
      </c>
      <c r="I131" s="22">
        <v>5829</v>
      </c>
      <c r="J131" s="22">
        <v>2597</v>
      </c>
      <c r="K131" s="22">
        <v>-794</v>
      </c>
      <c r="L131" s="22">
        <v>4533</v>
      </c>
      <c r="M131" s="22">
        <v>682</v>
      </c>
      <c r="N131" s="22">
        <v>1759</v>
      </c>
      <c r="O131" s="44">
        <f>SUM(C131:N131)</f>
        <v>68923</v>
      </c>
    </row>
    <row r="132" spans="1:15">
      <c r="A132" s="45"/>
      <c r="B132" s="34" t="s">
        <v>160</v>
      </c>
      <c r="C132" s="17">
        <f>'Forecast Input'!D85</f>
        <v>500</v>
      </c>
      <c r="D132" s="17">
        <f>'Forecast Input'!E85</f>
        <v>500</v>
      </c>
      <c r="E132" s="17">
        <f>'Forecast Input'!F85</f>
        <v>500</v>
      </c>
      <c r="F132" s="17">
        <f>'Forecast Input'!G85</f>
        <v>500</v>
      </c>
      <c r="G132" s="17">
        <f>'Forecast Input'!H85</f>
        <v>500</v>
      </c>
      <c r="H132" s="17">
        <f>'Forecast Input'!I85</f>
        <v>500</v>
      </c>
      <c r="I132" s="17">
        <f>'Forecast Input'!J85</f>
        <v>500</v>
      </c>
      <c r="J132" s="17">
        <f>'Forecast Input'!K85</f>
        <v>500</v>
      </c>
      <c r="K132" s="17">
        <f>'Forecast Input'!L85</f>
        <v>500</v>
      </c>
      <c r="L132" s="17">
        <f>'Forecast Input'!M85</f>
        <v>500</v>
      </c>
      <c r="M132" s="17">
        <f>'Forecast Input'!N85</f>
        <v>500</v>
      </c>
      <c r="N132" s="17">
        <f>'Forecast Input'!O85</f>
        <v>500</v>
      </c>
      <c r="O132" s="46">
        <f>SUM(C132:N132)</f>
        <v>6000</v>
      </c>
    </row>
    <row r="133" spans="1:15">
      <c r="A133" s="47"/>
      <c r="B133" s="86" t="s">
        <v>196</v>
      </c>
      <c r="C133" s="153">
        <f>IF(C130=0,"-",C130-C132)</f>
        <v>436.26584100000002</v>
      </c>
      <c r="D133" s="153">
        <f t="shared" ref="D133:N133" si="72">IF(D130=0,"-",D130-D132)</f>
        <v>-932.94900699999994</v>
      </c>
      <c r="E133" s="153">
        <f t="shared" si="72"/>
        <v>-926.49199299999998</v>
      </c>
      <c r="F133" s="153" t="str">
        <f t="shared" si="72"/>
        <v>-</v>
      </c>
      <c r="G133" s="153" t="str">
        <f t="shared" si="72"/>
        <v>-</v>
      </c>
      <c r="H133" s="153" t="str">
        <f t="shared" si="72"/>
        <v>-</v>
      </c>
      <c r="I133" s="153" t="str">
        <f t="shared" si="72"/>
        <v>-</v>
      </c>
      <c r="J133" s="153" t="str">
        <f t="shared" si="72"/>
        <v>-</v>
      </c>
      <c r="K133" s="153" t="str">
        <f t="shared" si="72"/>
        <v>-</v>
      </c>
      <c r="L133" s="153" t="str">
        <f t="shared" si="72"/>
        <v>-</v>
      </c>
      <c r="M133" s="153" t="str">
        <f t="shared" si="72"/>
        <v>-</v>
      </c>
      <c r="N133" s="153" t="str">
        <f t="shared" si="72"/>
        <v>-</v>
      </c>
      <c r="O133" s="48"/>
    </row>
    <row r="134" spans="1:15">
      <c r="A134" s="47"/>
      <c r="B134" s="86" t="s">
        <v>197</v>
      </c>
      <c r="C134" s="154">
        <f>IFERROR(C133/C130,"-")</f>
        <v>0.4659636418370624</v>
      </c>
      <c r="D134" s="154">
        <f t="shared" ref="D134:N134" si="73">IFERROR(D133/D130,"-")</f>
        <v>2.1548704164137278</v>
      </c>
      <c r="E134" s="154">
        <f t="shared" si="73"/>
        <v>2.1723549520424408</v>
      </c>
      <c r="F134" s="154" t="str">
        <f t="shared" si="73"/>
        <v>-</v>
      </c>
      <c r="G134" s="154" t="str">
        <f t="shared" si="73"/>
        <v>-</v>
      </c>
      <c r="H134" s="154" t="str">
        <f t="shared" si="73"/>
        <v>-</v>
      </c>
      <c r="I134" s="154" t="str">
        <f t="shared" si="73"/>
        <v>-</v>
      </c>
      <c r="J134" s="154" t="str">
        <f t="shared" si="73"/>
        <v>-</v>
      </c>
      <c r="K134" s="154" t="str">
        <f t="shared" si="73"/>
        <v>-</v>
      </c>
      <c r="L134" s="154" t="str">
        <f t="shared" si="73"/>
        <v>-</v>
      </c>
      <c r="M134" s="154" t="str">
        <f t="shared" si="73"/>
        <v>-</v>
      </c>
      <c r="N134" s="154" t="str">
        <f t="shared" si="73"/>
        <v>-</v>
      </c>
      <c r="O134" s="48"/>
    </row>
    <row r="135" spans="1:15">
      <c r="A135" s="47"/>
      <c r="B135" s="86" t="s">
        <v>198</v>
      </c>
      <c r="C135" s="153">
        <f t="shared" ref="C135:N135" si="74">IFERROR(C132-C131,"-")</f>
        <v>-3031</v>
      </c>
      <c r="D135" s="153">
        <f t="shared" si="74"/>
        <v>-8392</v>
      </c>
      <c r="E135" s="153">
        <f t="shared" si="74"/>
        <v>-10522</v>
      </c>
      <c r="F135" s="153">
        <f t="shared" si="74"/>
        <v>-11531</v>
      </c>
      <c r="G135" s="153">
        <f t="shared" si="74"/>
        <v>-8640</v>
      </c>
      <c r="H135" s="153">
        <f t="shared" si="74"/>
        <v>-9201</v>
      </c>
      <c r="I135" s="153">
        <f t="shared" si="74"/>
        <v>-5329</v>
      </c>
      <c r="J135" s="153">
        <f t="shared" si="74"/>
        <v>-2097</v>
      </c>
      <c r="K135" s="153">
        <f t="shared" si="74"/>
        <v>1294</v>
      </c>
      <c r="L135" s="153">
        <f t="shared" si="74"/>
        <v>-4033</v>
      </c>
      <c r="M135" s="153">
        <f t="shared" si="74"/>
        <v>-182</v>
      </c>
      <c r="N135" s="153">
        <f t="shared" si="74"/>
        <v>-1259</v>
      </c>
      <c r="O135" s="48"/>
    </row>
    <row r="136" spans="1:15" ht="15.95" thickBot="1">
      <c r="A136" s="49"/>
      <c r="B136" s="155" t="s">
        <v>199</v>
      </c>
      <c r="C136" s="154">
        <f>IFERROR(C135/C131,"-")</f>
        <v>-0.85839705465873695</v>
      </c>
      <c r="D136" s="154">
        <f t="shared" ref="D136:N136" si="75">IFERROR(D135/D131,"-")</f>
        <v>-0.9437696806117859</v>
      </c>
      <c r="E136" s="154">
        <f t="shared" si="75"/>
        <v>-0.95463618218109236</v>
      </c>
      <c r="F136" s="154">
        <f t="shared" si="75"/>
        <v>-0.95844069487158179</v>
      </c>
      <c r="G136" s="154">
        <f t="shared" si="75"/>
        <v>-0.94529540481400443</v>
      </c>
      <c r="H136" s="154">
        <f t="shared" si="75"/>
        <v>-0.94845892176064328</v>
      </c>
      <c r="I136" s="154">
        <f t="shared" si="75"/>
        <v>-0.91422199348087152</v>
      </c>
      <c r="J136" s="154">
        <f t="shared" si="75"/>
        <v>-0.80747015787447052</v>
      </c>
      <c r="K136" s="154">
        <f t="shared" si="75"/>
        <v>-1.6297229219143576</v>
      </c>
      <c r="L136" s="154">
        <f t="shared" si="75"/>
        <v>-0.88969777189499233</v>
      </c>
      <c r="M136" s="154">
        <f t="shared" si="75"/>
        <v>-0.26686217008797652</v>
      </c>
      <c r="N136" s="154">
        <f t="shared" si="75"/>
        <v>-0.7157475838544628</v>
      </c>
      <c r="O136" s="50"/>
    </row>
    <row r="137" spans="1:15">
      <c r="A137" s="39" t="s">
        <v>110</v>
      </c>
      <c r="B137" s="40" t="s">
        <v>194</v>
      </c>
      <c r="C137" s="41">
        <f>'Forecast Input'!D86</f>
        <v>1059.3762320000001</v>
      </c>
      <c r="D137" s="41">
        <f>'Forecast Input'!E86</f>
        <v>485.38376499999998</v>
      </c>
      <c r="E137" s="41">
        <f>'Forecast Input'!F86</f>
        <v>-1908.3346280000001</v>
      </c>
      <c r="F137" s="41">
        <f>'Forecast Input'!G86</f>
        <v>0</v>
      </c>
      <c r="G137" s="41">
        <f>'Forecast Input'!H86</f>
        <v>0</v>
      </c>
      <c r="H137" s="41">
        <f>'Forecast Input'!I86</f>
        <v>0</v>
      </c>
      <c r="I137" s="41">
        <f>'Forecast Input'!J86</f>
        <v>0</v>
      </c>
      <c r="J137" s="41">
        <f>'Forecast Input'!K86</f>
        <v>0</v>
      </c>
      <c r="K137" s="41">
        <f>'Forecast Input'!L86</f>
        <v>0</v>
      </c>
      <c r="L137" s="41">
        <f>'Forecast Input'!M86</f>
        <v>0</v>
      </c>
      <c r="M137" s="41">
        <f>'Forecast Input'!N86</f>
        <v>0</v>
      </c>
      <c r="N137" s="41">
        <f>'Forecast Input'!O86</f>
        <v>0</v>
      </c>
      <c r="O137" s="42">
        <f>SUM(C137:N137)</f>
        <v>-363.57463099999995</v>
      </c>
    </row>
    <row r="138" spans="1:15">
      <c r="A138" s="43"/>
      <c r="B138" s="33" t="s">
        <v>23</v>
      </c>
      <c r="C138" s="22">
        <v>16493</v>
      </c>
      <c r="D138" s="22">
        <v>17409</v>
      </c>
      <c r="E138" s="22">
        <v>21395</v>
      </c>
      <c r="F138" s="22">
        <v>19614</v>
      </c>
      <c r="G138" s="22">
        <v>21970</v>
      </c>
      <c r="H138" s="22">
        <v>19215</v>
      </c>
      <c r="I138" s="22">
        <v>30831</v>
      </c>
      <c r="J138" s="22">
        <v>24174</v>
      </c>
      <c r="K138" s="22">
        <v>23028</v>
      </c>
      <c r="L138" s="22">
        <v>37446</v>
      </c>
      <c r="M138" s="22">
        <v>8019</v>
      </c>
      <c r="N138" s="22">
        <v>9389</v>
      </c>
      <c r="O138" s="44">
        <f>SUM(C138:N138)</f>
        <v>248983</v>
      </c>
    </row>
    <row r="139" spans="1:15">
      <c r="A139" s="45"/>
      <c r="B139" s="34" t="s">
        <v>160</v>
      </c>
      <c r="C139" s="17">
        <f>'Forecast Input'!D87</f>
        <v>500</v>
      </c>
      <c r="D139" s="17">
        <f>'Forecast Input'!E87</f>
        <v>500</v>
      </c>
      <c r="E139" s="17">
        <f>'Forecast Input'!F87</f>
        <v>500</v>
      </c>
      <c r="F139" s="17">
        <f>'Forecast Input'!G87</f>
        <v>500</v>
      </c>
      <c r="G139" s="17">
        <f>'Forecast Input'!H87</f>
        <v>500</v>
      </c>
      <c r="H139" s="17">
        <f>'Forecast Input'!I87</f>
        <v>500</v>
      </c>
      <c r="I139" s="17">
        <f>'Forecast Input'!J87</f>
        <v>500</v>
      </c>
      <c r="J139" s="17">
        <f>'Forecast Input'!K87</f>
        <v>500</v>
      </c>
      <c r="K139" s="17">
        <f>'Forecast Input'!L87</f>
        <v>500</v>
      </c>
      <c r="L139" s="17">
        <f>'Forecast Input'!M87</f>
        <v>500</v>
      </c>
      <c r="M139" s="17">
        <f>'Forecast Input'!N87</f>
        <v>500</v>
      </c>
      <c r="N139" s="17">
        <f>'Forecast Input'!O87</f>
        <v>500</v>
      </c>
      <c r="O139" s="46">
        <f>SUM(C139:N139)</f>
        <v>6000</v>
      </c>
    </row>
    <row r="140" spans="1:15">
      <c r="A140" s="47"/>
      <c r="B140" s="86" t="s">
        <v>196</v>
      </c>
      <c r="C140" s="153">
        <f>IF(C137=0,"-",C137-C139)</f>
        <v>559.37623200000007</v>
      </c>
      <c r="D140" s="153">
        <f t="shared" ref="D140:N140" si="76">IF(D137=0,"-",D137-D139)</f>
        <v>-14.616235000000017</v>
      </c>
      <c r="E140" s="153">
        <f t="shared" si="76"/>
        <v>-2408.3346280000001</v>
      </c>
      <c r="F140" s="153" t="str">
        <f t="shared" si="76"/>
        <v>-</v>
      </c>
      <c r="G140" s="153" t="str">
        <f t="shared" si="76"/>
        <v>-</v>
      </c>
      <c r="H140" s="153" t="str">
        <f t="shared" si="76"/>
        <v>-</v>
      </c>
      <c r="I140" s="153" t="str">
        <f t="shared" si="76"/>
        <v>-</v>
      </c>
      <c r="J140" s="153" t="str">
        <f t="shared" si="76"/>
        <v>-</v>
      </c>
      <c r="K140" s="153" t="str">
        <f t="shared" si="76"/>
        <v>-</v>
      </c>
      <c r="L140" s="153" t="str">
        <f t="shared" si="76"/>
        <v>-</v>
      </c>
      <c r="M140" s="153" t="str">
        <f t="shared" si="76"/>
        <v>-</v>
      </c>
      <c r="N140" s="153" t="str">
        <f t="shared" si="76"/>
        <v>-</v>
      </c>
      <c r="O140" s="48"/>
    </row>
    <row r="141" spans="1:15">
      <c r="A141" s="47"/>
      <c r="B141" s="86" t="s">
        <v>197</v>
      </c>
      <c r="C141" s="154">
        <f>IFERROR(C140/C137,"-")</f>
        <v>0.52802414770430683</v>
      </c>
      <c r="D141" s="154">
        <f t="shared" ref="D141:N141" si="77">IFERROR(D140/D137,"-")</f>
        <v>-3.0112739761701791E-2</v>
      </c>
      <c r="E141" s="154">
        <f t="shared" si="77"/>
        <v>1.2620085558705274</v>
      </c>
      <c r="F141" s="154" t="str">
        <f t="shared" si="77"/>
        <v>-</v>
      </c>
      <c r="G141" s="154" t="str">
        <f t="shared" si="77"/>
        <v>-</v>
      </c>
      <c r="H141" s="154" t="str">
        <f t="shared" si="77"/>
        <v>-</v>
      </c>
      <c r="I141" s="154" t="str">
        <f t="shared" si="77"/>
        <v>-</v>
      </c>
      <c r="J141" s="154" t="str">
        <f t="shared" si="77"/>
        <v>-</v>
      </c>
      <c r="K141" s="154" t="str">
        <f t="shared" si="77"/>
        <v>-</v>
      </c>
      <c r="L141" s="154" t="str">
        <f t="shared" si="77"/>
        <v>-</v>
      </c>
      <c r="M141" s="154" t="str">
        <f t="shared" si="77"/>
        <v>-</v>
      </c>
      <c r="N141" s="154" t="str">
        <f t="shared" si="77"/>
        <v>-</v>
      </c>
      <c r="O141" s="48"/>
    </row>
    <row r="142" spans="1:15">
      <c r="A142" s="47"/>
      <c r="B142" s="86" t="s">
        <v>198</v>
      </c>
      <c r="C142" s="153">
        <f t="shared" ref="C142:N142" si="78">IFERROR(C139-C138,"-")</f>
        <v>-15993</v>
      </c>
      <c r="D142" s="153">
        <f t="shared" si="78"/>
        <v>-16909</v>
      </c>
      <c r="E142" s="153">
        <f t="shared" si="78"/>
        <v>-20895</v>
      </c>
      <c r="F142" s="153">
        <f t="shared" si="78"/>
        <v>-19114</v>
      </c>
      <c r="G142" s="153">
        <f t="shared" si="78"/>
        <v>-21470</v>
      </c>
      <c r="H142" s="153">
        <f t="shared" si="78"/>
        <v>-18715</v>
      </c>
      <c r="I142" s="153">
        <f t="shared" si="78"/>
        <v>-30331</v>
      </c>
      <c r="J142" s="153">
        <f t="shared" si="78"/>
        <v>-23674</v>
      </c>
      <c r="K142" s="153">
        <f t="shared" si="78"/>
        <v>-22528</v>
      </c>
      <c r="L142" s="153">
        <f t="shared" si="78"/>
        <v>-36946</v>
      </c>
      <c r="M142" s="153">
        <f t="shared" si="78"/>
        <v>-7519</v>
      </c>
      <c r="N142" s="153">
        <f t="shared" si="78"/>
        <v>-8889</v>
      </c>
      <c r="O142" s="48"/>
    </row>
    <row r="143" spans="1:15" ht="15.95" thickBot="1">
      <c r="A143" s="49"/>
      <c r="B143" s="155" t="s">
        <v>199</v>
      </c>
      <c r="C143" s="154">
        <f>IFERROR(C142/C138,"-")</f>
        <v>-0.96968410840962838</v>
      </c>
      <c r="D143" s="154">
        <f t="shared" ref="D143:N143" si="79">IFERROR(D142/D138,"-")</f>
        <v>-0.97127922339020045</v>
      </c>
      <c r="E143" s="154">
        <f t="shared" si="79"/>
        <v>-0.97663005375087641</v>
      </c>
      <c r="F143" s="154">
        <f t="shared" si="79"/>
        <v>-0.97450800448659125</v>
      </c>
      <c r="G143" s="154">
        <f t="shared" si="79"/>
        <v>-0.97724169321802457</v>
      </c>
      <c r="H143" s="154">
        <f t="shared" si="79"/>
        <v>-0.97397866250325271</v>
      </c>
      <c r="I143" s="154">
        <f t="shared" si="79"/>
        <v>-0.98378255651779056</v>
      </c>
      <c r="J143" s="154">
        <f t="shared" si="79"/>
        <v>-0.97931662116323326</v>
      </c>
      <c r="K143" s="154">
        <f t="shared" si="79"/>
        <v>-0.97828730241445194</v>
      </c>
      <c r="L143" s="154">
        <f t="shared" si="79"/>
        <v>-0.98664743897879614</v>
      </c>
      <c r="M143" s="154">
        <f t="shared" si="79"/>
        <v>-0.93764808579623393</v>
      </c>
      <c r="N143" s="154">
        <f t="shared" si="79"/>
        <v>-0.94674619235275326</v>
      </c>
      <c r="O143" s="50"/>
    </row>
    <row r="144" spans="1:15">
      <c r="A144" s="39" t="s">
        <v>111</v>
      </c>
      <c r="B144" s="40" t="s">
        <v>194</v>
      </c>
      <c r="C144" s="41">
        <f>'Forecast Input'!D88</f>
        <v>-2553.5342249999999</v>
      </c>
      <c r="D144" s="41">
        <f>'Forecast Input'!E88</f>
        <v>778.41681300000005</v>
      </c>
      <c r="E144" s="41">
        <f>'Forecast Input'!F88</f>
        <v>-4.9836640000000001</v>
      </c>
      <c r="F144" s="41">
        <f>'Forecast Input'!G88</f>
        <v>0</v>
      </c>
      <c r="G144" s="41">
        <f>'Forecast Input'!H88</f>
        <v>0</v>
      </c>
      <c r="H144" s="41">
        <f>'Forecast Input'!I88</f>
        <v>0</v>
      </c>
      <c r="I144" s="41">
        <f>'Forecast Input'!J88</f>
        <v>0</v>
      </c>
      <c r="J144" s="41">
        <f>'Forecast Input'!K88</f>
        <v>0</v>
      </c>
      <c r="K144" s="41">
        <f>'Forecast Input'!L88</f>
        <v>0</v>
      </c>
      <c r="L144" s="41">
        <f>'Forecast Input'!M88</f>
        <v>0</v>
      </c>
      <c r="M144" s="41">
        <f>'Forecast Input'!N88</f>
        <v>0</v>
      </c>
      <c r="N144" s="41">
        <f>'Forecast Input'!O88</f>
        <v>0</v>
      </c>
      <c r="O144" s="42">
        <f>SUM(C144:N144)</f>
        <v>-1780.1010759999999</v>
      </c>
    </row>
    <row r="145" spans="1:15">
      <c r="A145" s="43"/>
      <c r="B145" s="33" t="s">
        <v>23</v>
      </c>
      <c r="C145" s="22">
        <v>900</v>
      </c>
      <c r="D145" s="22">
        <v>0</v>
      </c>
      <c r="E145" s="22">
        <v>75</v>
      </c>
      <c r="F145" s="22">
        <v>1936</v>
      </c>
      <c r="G145" s="22">
        <v>11537</v>
      </c>
      <c r="H145" s="22">
        <v>8706</v>
      </c>
      <c r="I145" s="22">
        <v>3400</v>
      </c>
      <c r="J145" s="22">
        <v>2372</v>
      </c>
      <c r="K145" s="22">
        <v>2178</v>
      </c>
      <c r="L145" s="22">
        <v>1503</v>
      </c>
      <c r="M145" s="22">
        <v>3102</v>
      </c>
      <c r="N145" s="22">
        <v>1474</v>
      </c>
      <c r="O145" s="44">
        <f>SUM(C145:N145)</f>
        <v>37183</v>
      </c>
    </row>
    <row r="146" spans="1:15">
      <c r="A146" s="45"/>
      <c r="B146" s="34" t="s">
        <v>160</v>
      </c>
      <c r="C146" s="17">
        <f>'Forecast Input'!D89</f>
        <v>500</v>
      </c>
      <c r="D146" s="17">
        <f>'Forecast Input'!E89</f>
        <v>500</v>
      </c>
      <c r="E146" s="17">
        <f>'Forecast Input'!F89</f>
        <v>500</v>
      </c>
      <c r="F146" s="17">
        <f>'Forecast Input'!G89</f>
        <v>500</v>
      </c>
      <c r="G146" s="17">
        <f>'Forecast Input'!H89</f>
        <v>500</v>
      </c>
      <c r="H146" s="17">
        <f>'Forecast Input'!I89</f>
        <v>500</v>
      </c>
      <c r="I146" s="17">
        <f>'Forecast Input'!J89</f>
        <v>500</v>
      </c>
      <c r="J146" s="17">
        <f>'Forecast Input'!K89</f>
        <v>500</v>
      </c>
      <c r="K146" s="17">
        <f>'Forecast Input'!L89</f>
        <v>500</v>
      </c>
      <c r="L146" s="17">
        <f>'Forecast Input'!M89</f>
        <v>500</v>
      </c>
      <c r="M146" s="17">
        <f>'Forecast Input'!N89</f>
        <v>500</v>
      </c>
      <c r="N146" s="17">
        <f>'Forecast Input'!O89</f>
        <v>500</v>
      </c>
      <c r="O146" s="46">
        <f>SUM(C146:N146)</f>
        <v>6000</v>
      </c>
    </row>
    <row r="147" spans="1:15">
      <c r="A147" s="47"/>
      <c r="B147" s="86" t="s">
        <v>196</v>
      </c>
      <c r="C147" s="153">
        <f>IF(C144=0,"-",C144-C146)</f>
        <v>-3053.5342249999999</v>
      </c>
      <c r="D147" s="153">
        <f t="shared" ref="D147:N147" si="80">IF(D144=0,"-",D144-D146)</f>
        <v>278.41681300000005</v>
      </c>
      <c r="E147" s="153">
        <f t="shared" si="80"/>
        <v>-504.98366399999998</v>
      </c>
      <c r="F147" s="153" t="str">
        <f t="shared" si="80"/>
        <v>-</v>
      </c>
      <c r="G147" s="153" t="str">
        <f t="shared" si="80"/>
        <v>-</v>
      </c>
      <c r="H147" s="153" t="str">
        <f t="shared" si="80"/>
        <v>-</v>
      </c>
      <c r="I147" s="153" t="str">
        <f t="shared" si="80"/>
        <v>-</v>
      </c>
      <c r="J147" s="153" t="str">
        <f t="shared" si="80"/>
        <v>-</v>
      </c>
      <c r="K147" s="153" t="str">
        <f t="shared" si="80"/>
        <v>-</v>
      </c>
      <c r="L147" s="153" t="str">
        <f t="shared" si="80"/>
        <v>-</v>
      </c>
      <c r="M147" s="153" t="str">
        <f t="shared" si="80"/>
        <v>-</v>
      </c>
      <c r="N147" s="153" t="str">
        <f t="shared" si="80"/>
        <v>-</v>
      </c>
      <c r="O147" s="48"/>
    </row>
    <row r="148" spans="1:15">
      <c r="A148" s="47"/>
      <c r="B148" s="86" t="s">
        <v>197</v>
      </c>
      <c r="C148" s="154">
        <f>IFERROR(C147/C144,"-")</f>
        <v>1.1958070485622725</v>
      </c>
      <c r="D148" s="154">
        <f t="shared" ref="D148:N148" si="81">IFERROR(D147/D144,"-")</f>
        <v>0.35767060570928344</v>
      </c>
      <c r="E148" s="154">
        <f t="shared" si="81"/>
        <v>101.32779095862</v>
      </c>
      <c r="F148" s="154" t="str">
        <f t="shared" si="81"/>
        <v>-</v>
      </c>
      <c r="G148" s="154" t="str">
        <f t="shared" si="81"/>
        <v>-</v>
      </c>
      <c r="H148" s="154" t="str">
        <f t="shared" si="81"/>
        <v>-</v>
      </c>
      <c r="I148" s="154" t="str">
        <f t="shared" si="81"/>
        <v>-</v>
      </c>
      <c r="J148" s="154" t="str">
        <f t="shared" si="81"/>
        <v>-</v>
      </c>
      <c r="K148" s="154" t="str">
        <f t="shared" si="81"/>
        <v>-</v>
      </c>
      <c r="L148" s="154" t="str">
        <f t="shared" si="81"/>
        <v>-</v>
      </c>
      <c r="M148" s="154" t="str">
        <f t="shared" si="81"/>
        <v>-</v>
      </c>
      <c r="N148" s="154" t="str">
        <f t="shared" si="81"/>
        <v>-</v>
      </c>
      <c r="O148" s="48"/>
    </row>
    <row r="149" spans="1:15">
      <c r="A149" s="47"/>
      <c r="B149" s="86" t="s">
        <v>198</v>
      </c>
      <c r="C149" s="153">
        <f t="shared" ref="C149:N149" si="82">IFERROR(C146-C145,"-")</f>
        <v>-400</v>
      </c>
      <c r="D149" s="153">
        <f t="shared" si="82"/>
        <v>500</v>
      </c>
      <c r="E149" s="153">
        <f t="shared" si="82"/>
        <v>425</v>
      </c>
      <c r="F149" s="153">
        <f t="shared" si="82"/>
        <v>-1436</v>
      </c>
      <c r="G149" s="153">
        <f t="shared" si="82"/>
        <v>-11037</v>
      </c>
      <c r="H149" s="153">
        <f t="shared" si="82"/>
        <v>-8206</v>
      </c>
      <c r="I149" s="153">
        <f t="shared" si="82"/>
        <v>-2900</v>
      </c>
      <c r="J149" s="153">
        <f t="shared" si="82"/>
        <v>-1872</v>
      </c>
      <c r="K149" s="153">
        <f t="shared" si="82"/>
        <v>-1678</v>
      </c>
      <c r="L149" s="153">
        <f t="shared" si="82"/>
        <v>-1003</v>
      </c>
      <c r="M149" s="153">
        <f t="shared" si="82"/>
        <v>-2602</v>
      </c>
      <c r="N149" s="153">
        <f t="shared" si="82"/>
        <v>-974</v>
      </c>
      <c r="O149" s="48"/>
    </row>
    <row r="150" spans="1:15" ht="15.95" thickBot="1">
      <c r="A150" s="49"/>
      <c r="B150" s="155" t="s">
        <v>199</v>
      </c>
      <c r="C150" s="154">
        <f>IFERROR(C149/C145,"-")</f>
        <v>-0.44444444444444442</v>
      </c>
      <c r="D150" s="154" t="str">
        <f t="shared" ref="D150:N150" si="83">IFERROR(D149/D145,"-")</f>
        <v>-</v>
      </c>
      <c r="E150" s="154">
        <f t="shared" si="83"/>
        <v>5.666666666666667</v>
      </c>
      <c r="F150" s="154">
        <f t="shared" si="83"/>
        <v>-0.74173553719008267</v>
      </c>
      <c r="G150" s="154">
        <f t="shared" si="83"/>
        <v>-0.95666117708243048</v>
      </c>
      <c r="H150" s="154">
        <f t="shared" si="83"/>
        <v>-0.94256834367103148</v>
      </c>
      <c r="I150" s="154">
        <f t="shared" si="83"/>
        <v>-0.8529411764705882</v>
      </c>
      <c r="J150" s="154">
        <f t="shared" si="83"/>
        <v>-0.7892074198988196</v>
      </c>
      <c r="K150" s="154">
        <f t="shared" si="83"/>
        <v>-0.77043158861340677</v>
      </c>
      <c r="L150" s="154">
        <f t="shared" si="83"/>
        <v>-0.66733200266134396</v>
      </c>
      <c r="M150" s="154">
        <f t="shared" si="83"/>
        <v>-0.83881366860090267</v>
      </c>
      <c r="N150" s="154">
        <f t="shared" si="83"/>
        <v>-0.66078697421981003</v>
      </c>
      <c r="O150" s="50"/>
    </row>
    <row r="151" spans="1:15">
      <c r="A151" s="39" t="s">
        <v>112</v>
      </c>
      <c r="B151" s="40" t="s">
        <v>194</v>
      </c>
      <c r="C151" s="41">
        <f>'Forecast Input'!D90</f>
        <v>0</v>
      </c>
      <c r="D151" s="41">
        <f>'Forecast Input'!E90</f>
        <v>0</v>
      </c>
      <c r="E151" s="41">
        <f>'Forecast Input'!F90</f>
        <v>0</v>
      </c>
      <c r="F151" s="41">
        <f>'Forecast Input'!G90</f>
        <v>0</v>
      </c>
      <c r="G151" s="41">
        <f>'Forecast Input'!H90</f>
        <v>0</v>
      </c>
      <c r="H151" s="41">
        <f>'Forecast Input'!I90</f>
        <v>0</v>
      </c>
      <c r="I151" s="41">
        <f>'Forecast Input'!J90</f>
        <v>0</v>
      </c>
      <c r="J151" s="41">
        <f>'Forecast Input'!K90</f>
        <v>0</v>
      </c>
      <c r="K151" s="41">
        <f>'Forecast Input'!L90</f>
        <v>0</v>
      </c>
      <c r="L151" s="41">
        <f>'Forecast Input'!M90</f>
        <v>0</v>
      </c>
      <c r="M151" s="41">
        <f>'Forecast Input'!N90</f>
        <v>0</v>
      </c>
      <c r="N151" s="41">
        <f>'Forecast Input'!O90</f>
        <v>0</v>
      </c>
      <c r="O151" s="42">
        <f>SUM(C151:N151)</f>
        <v>0</v>
      </c>
    </row>
    <row r="152" spans="1:15">
      <c r="A152" s="43"/>
      <c r="B152" s="33" t="s">
        <v>23</v>
      </c>
      <c r="C152" s="22"/>
      <c r="D152" s="22"/>
      <c r="E152" s="22">
        <v>276</v>
      </c>
      <c r="F152" s="22"/>
      <c r="G152" s="22"/>
      <c r="H152" s="22"/>
      <c r="I152" s="22"/>
      <c r="J152" s="22">
        <v>275</v>
      </c>
      <c r="K152" s="22">
        <v>275</v>
      </c>
      <c r="L152" s="22">
        <v>0</v>
      </c>
      <c r="M152" s="22"/>
      <c r="N152" s="22"/>
      <c r="O152" s="44">
        <f>SUM(C152:N152)</f>
        <v>826</v>
      </c>
    </row>
    <row r="153" spans="1:15">
      <c r="A153" s="45"/>
      <c r="B153" s="34" t="s">
        <v>160</v>
      </c>
      <c r="C153" s="17">
        <f>'Forecast Input'!D91</f>
        <v>500</v>
      </c>
      <c r="D153" s="17">
        <f>'Forecast Input'!E91</f>
        <v>500</v>
      </c>
      <c r="E153" s="17">
        <f>'Forecast Input'!F91</f>
        <v>500</v>
      </c>
      <c r="F153" s="17">
        <f>'Forecast Input'!G91</f>
        <v>500</v>
      </c>
      <c r="G153" s="17">
        <f>'Forecast Input'!H91</f>
        <v>500</v>
      </c>
      <c r="H153" s="17">
        <f>'Forecast Input'!I91</f>
        <v>500</v>
      </c>
      <c r="I153" s="17">
        <f>'Forecast Input'!J91</f>
        <v>500</v>
      </c>
      <c r="J153" s="17">
        <f>'Forecast Input'!K91</f>
        <v>500</v>
      </c>
      <c r="K153" s="17">
        <f>'Forecast Input'!L91</f>
        <v>500</v>
      </c>
      <c r="L153" s="17">
        <f>'Forecast Input'!M91</f>
        <v>500</v>
      </c>
      <c r="M153" s="17">
        <f>'Forecast Input'!N91</f>
        <v>500</v>
      </c>
      <c r="N153" s="17">
        <f>'Forecast Input'!O91</f>
        <v>500</v>
      </c>
      <c r="O153" s="46">
        <f>SUM(C153:N153)</f>
        <v>6000</v>
      </c>
    </row>
    <row r="154" spans="1:15">
      <c r="A154" s="47"/>
      <c r="B154" s="86" t="s">
        <v>196</v>
      </c>
      <c r="C154" s="153" t="str">
        <f>IF(C151=0,"-",C151-C153)</f>
        <v>-</v>
      </c>
      <c r="D154" s="153" t="str">
        <f t="shared" ref="D154:N154" si="84">IF(D151=0,"-",D151-D153)</f>
        <v>-</v>
      </c>
      <c r="E154" s="153" t="str">
        <f t="shared" si="84"/>
        <v>-</v>
      </c>
      <c r="F154" s="153" t="str">
        <f t="shared" si="84"/>
        <v>-</v>
      </c>
      <c r="G154" s="153" t="str">
        <f t="shared" si="84"/>
        <v>-</v>
      </c>
      <c r="H154" s="153" t="str">
        <f t="shared" si="84"/>
        <v>-</v>
      </c>
      <c r="I154" s="153" t="str">
        <f t="shared" si="84"/>
        <v>-</v>
      </c>
      <c r="J154" s="153" t="str">
        <f t="shared" si="84"/>
        <v>-</v>
      </c>
      <c r="K154" s="153" t="str">
        <f t="shared" si="84"/>
        <v>-</v>
      </c>
      <c r="L154" s="153" t="str">
        <f t="shared" si="84"/>
        <v>-</v>
      </c>
      <c r="M154" s="153" t="str">
        <f t="shared" si="84"/>
        <v>-</v>
      </c>
      <c r="N154" s="153" t="str">
        <f t="shared" si="84"/>
        <v>-</v>
      </c>
      <c r="O154" s="48"/>
    </row>
    <row r="155" spans="1:15">
      <c r="A155" s="47"/>
      <c r="B155" s="86" t="s">
        <v>197</v>
      </c>
      <c r="C155" s="154" t="str">
        <f>IFERROR(C154/C151,"-")</f>
        <v>-</v>
      </c>
      <c r="D155" s="154" t="str">
        <f t="shared" ref="D155:N155" si="85">IFERROR(D154/D151,"-")</f>
        <v>-</v>
      </c>
      <c r="E155" s="154" t="str">
        <f t="shared" si="85"/>
        <v>-</v>
      </c>
      <c r="F155" s="154" t="str">
        <f t="shared" si="85"/>
        <v>-</v>
      </c>
      <c r="G155" s="154" t="str">
        <f t="shared" si="85"/>
        <v>-</v>
      </c>
      <c r="H155" s="154" t="str">
        <f t="shared" si="85"/>
        <v>-</v>
      </c>
      <c r="I155" s="154" t="str">
        <f t="shared" si="85"/>
        <v>-</v>
      </c>
      <c r="J155" s="154" t="str">
        <f t="shared" si="85"/>
        <v>-</v>
      </c>
      <c r="K155" s="154" t="str">
        <f t="shared" si="85"/>
        <v>-</v>
      </c>
      <c r="L155" s="154" t="str">
        <f t="shared" si="85"/>
        <v>-</v>
      </c>
      <c r="M155" s="154" t="str">
        <f t="shared" si="85"/>
        <v>-</v>
      </c>
      <c r="N155" s="154" t="str">
        <f t="shared" si="85"/>
        <v>-</v>
      </c>
      <c r="O155" s="48"/>
    </row>
    <row r="156" spans="1:15">
      <c r="A156" s="47"/>
      <c r="B156" s="86" t="s">
        <v>198</v>
      </c>
      <c r="C156" s="153">
        <f t="shared" ref="C156:N156" si="86">IFERROR(C153-C152,"-")</f>
        <v>500</v>
      </c>
      <c r="D156" s="153">
        <f t="shared" si="86"/>
        <v>500</v>
      </c>
      <c r="E156" s="153">
        <f t="shared" si="86"/>
        <v>224</v>
      </c>
      <c r="F156" s="153">
        <f t="shared" si="86"/>
        <v>500</v>
      </c>
      <c r="G156" s="153">
        <f t="shared" si="86"/>
        <v>500</v>
      </c>
      <c r="H156" s="153">
        <f t="shared" si="86"/>
        <v>500</v>
      </c>
      <c r="I156" s="153">
        <f t="shared" si="86"/>
        <v>500</v>
      </c>
      <c r="J156" s="153">
        <f t="shared" si="86"/>
        <v>225</v>
      </c>
      <c r="K156" s="153">
        <f t="shared" si="86"/>
        <v>225</v>
      </c>
      <c r="L156" s="153">
        <f t="shared" si="86"/>
        <v>500</v>
      </c>
      <c r="M156" s="153">
        <f t="shared" si="86"/>
        <v>500</v>
      </c>
      <c r="N156" s="153">
        <f t="shared" si="86"/>
        <v>500</v>
      </c>
      <c r="O156" s="48"/>
    </row>
    <row r="157" spans="1:15" ht="15.95" thickBot="1">
      <c r="A157" s="49"/>
      <c r="B157" s="155" t="s">
        <v>199</v>
      </c>
      <c r="C157" s="154" t="str">
        <f>IFERROR(C156/C152,"-")</f>
        <v>-</v>
      </c>
      <c r="D157" s="154" t="str">
        <f t="shared" ref="D157:N157" si="87">IFERROR(D156/D152,"-")</f>
        <v>-</v>
      </c>
      <c r="E157" s="154">
        <f t="shared" si="87"/>
        <v>0.81159420289855078</v>
      </c>
      <c r="F157" s="154" t="str">
        <f t="shared" si="87"/>
        <v>-</v>
      </c>
      <c r="G157" s="154" t="str">
        <f t="shared" si="87"/>
        <v>-</v>
      </c>
      <c r="H157" s="154" t="str">
        <f t="shared" si="87"/>
        <v>-</v>
      </c>
      <c r="I157" s="154" t="str">
        <f t="shared" si="87"/>
        <v>-</v>
      </c>
      <c r="J157" s="154">
        <f t="shared" si="87"/>
        <v>0.81818181818181823</v>
      </c>
      <c r="K157" s="154">
        <f t="shared" si="87"/>
        <v>0.81818181818181823</v>
      </c>
      <c r="L157" s="154" t="str">
        <f t="shared" si="87"/>
        <v>-</v>
      </c>
      <c r="M157" s="154" t="str">
        <f t="shared" si="87"/>
        <v>-</v>
      </c>
      <c r="N157" s="154" t="str">
        <f t="shared" si="87"/>
        <v>-</v>
      </c>
      <c r="O157" s="50"/>
    </row>
    <row r="158" spans="1:15">
      <c r="A158" s="39" t="s">
        <v>113</v>
      </c>
      <c r="B158" s="40" t="s">
        <v>194</v>
      </c>
      <c r="C158" s="41">
        <f>'Forecast Input'!D92</f>
        <v>75517.580287999997</v>
      </c>
      <c r="D158" s="41">
        <f>'Forecast Input'!E92</f>
        <v>62921.899102000003</v>
      </c>
      <c r="E158" s="41">
        <f>'Forecast Input'!F92</f>
        <v>3415.6736879999999</v>
      </c>
      <c r="F158" s="41">
        <f>'Forecast Input'!G92</f>
        <v>0</v>
      </c>
      <c r="G158" s="41">
        <f>'Forecast Input'!H92</f>
        <v>0</v>
      </c>
      <c r="H158" s="41">
        <f>'Forecast Input'!I92</f>
        <v>0</v>
      </c>
      <c r="I158" s="41">
        <f>'Forecast Input'!J92</f>
        <v>0</v>
      </c>
      <c r="J158" s="41">
        <f>'Forecast Input'!K92</f>
        <v>0</v>
      </c>
      <c r="K158" s="41">
        <f>'Forecast Input'!L92</f>
        <v>0</v>
      </c>
      <c r="L158" s="41">
        <f>'Forecast Input'!M92</f>
        <v>0</v>
      </c>
      <c r="M158" s="41">
        <f>'Forecast Input'!N92</f>
        <v>0</v>
      </c>
      <c r="N158" s="41">
        <f>'Forecast Input'!O92</f>
        <v>0</v>
      </c>
      <c r="O158" s="42">
        <f>SUM(C158:N158)</f>
        <v>141855.153078</v>
      </c>
    </row>
    <row r="159" spans="1:15">
      <c r="A159" s="43"/>
      <c r="B159" s="33" t="s">
        <v>23</v>
      </c>
      <c r="C159" s="22">
        <v>150</v>
      </c>
      <c r="D159" s="22">
        <v>225</v>
      </c>
      <c r="E159" s="22">
        <v>150</v>
      </c>
      <c r="F159" s="22">
        <v>74</v>
      </c>
      <c r="G159" s="22">
        <v>75</v>
      </c>
      <c r="H159" s="22">
        <v>74</v>
      </c>
      <c r="I159" s="22"/>
      <c r="J159" s="22"/>
      <c r="K159" s="22"/>
      <c r="L159" s="22"/>
      <c r="M159" s="22">
        <v>2</v>
      </c>
      <c r="N159" s="22">
        <v>60384</v>
      </c>
      <c r="O159" s="44">
        <f>SUM(C159:N159)</f>
        <v>61134</v>
      </c>
    </row>
    <row r="160" spans="1:15">
      <c r="A160" s="45"/>
      <c r="B160" s="34" t="s">
        <v>160</v>
      </c>
      <c r="C160" s="17">
        <f>'Forecast Input'!D93</f>
        <v>50000</v>
      </c>
      <c r="D160" s="17">
        <f>'Forecast Input'!E93</f>
        <v>20000</v>
      </c>
      <c r="E160" s="17">
        <f>'Forecast Input'!F93</f>
        <v>20000</v>
      </c>
      <c r="F160" s="17">
        <f>'Forecast Input'!G93</f>
        <v>10000</v>
      </c>
      <c r="G160" s="17">
        <f>'Forecast Input'!H93</f>
        <v>5000</v>
      </c>
      <c r="H160" s="17">
        <f>'Forecast Input'!I93</f>
        <v>5000</v>
      </c>
      <c r="I160" s="17">
        <f>'Forecast Input'!J93</f>
        <v>5000</v>
      </c>
      <c r="J160" s="17">
        <f>'Forecast Input'!K93</f>
        <v>10000</v>
      </c>
      <c r="K160" s="17">
        <f>'Forecast Input'!L93</f>
        <v>25000</v>
      </c>
      <c r="L160" s="17">
        <f>'Forecast Input'!M93</f>
        <v>20000</v>
      </c>
      <c r="M160" s="17">
        <f>'Forecast Input'!N93</f>
        <v>20000</v>
      </c>
      <c r="N160" s="17">
        <f>'Forecast Input'!O93</f>
        <v>25000</v>
      </c>
      <c r="O160" s="46">
        <f>SUM(C160:N160)</f>
        <v>215000</v>
      </c>
    </row>
    <row r="161" spans="1:15">
      <c r="A161" s="47"/>
      <c r="B161" s="86" t="s">
        <v>196</v>
      </c>
      <c r="C161" s="153">
        <f>IF(C158=0,"-",C158-C160)</f>
        <v>25517.580287999997</v>
      </c>
      <c r="D161" s="153">
        <f t="shared" ref="D161:N161" si="88">IF(D158=0,"-",D158-D160)</f>
        <v>42921.899102000003</v>
      </c>
      <c r="E161" s="153">
        <f t="shared" si="88"/>
        <v>-16584.326312000001</v>
      </c>
      <c r="F161" s="153" t="str">
        <f t="shared" si="88"/>
        <v>-</v>
      </c>
      <c r="G161" s="153" t="str">
        <f t="shared" si="88"/>
        <v>-</v>
      </c>
      <c r="H161" s="153" t="str">
        <f t="shared" si="88"/>
        <v>-</v>
      </c>
      <c r="I161" s="153" t="str">
        <f t="shared" si="88"/>
        <v>-</v>
      </c>
      <c r="J161" s="153" t="str">
        <f t="shared" si="88"/>
        <v>-</v>
      </c>
      <c r="K161" s="153" t="str">
        <f t="shared" si="88"/>
        <v>-</v>
      </c>
      <c r="L161" s="153" t="str">
        <f t="shared" si="88"/>
        <v>-</v>
      </c>
      <c r="M161" s="153" t="str">
        <f t="shared" si="88"/>
        <v>-</v>
      </c>
      <c r="N161" s="153" t="str">
        <f t="shared" si="88"/>
        <v>-</v>
      </c>
      <c r="O161" s="48"/>
    </row>
    <row r="162" spans="1:15">
      <c r="A162" s="47"/>
      <c r="B162" s="86" t="s">
        <v>197</v>
      </c>
      <c r="C162" s="154">
        <f>IFERROR(C161/C158,"-")</f>
        <v>0.3379025147612526</v>
      </c>
      <c r="D162" s="154">
        <f t="shared" ref="D162:N162" si="89">IFERROR(D161/D158,"-")</f>
        <v>0.68214563950813289</v>
      </c>
      <c r="E162" s="154">
        <f t="shared" si="89"/>
        <v>-4.8553602676579803</v>
      </c>
      <c r="F162" s="154" t="str">
        <f t="shared" si="89"/>
        <v>-</v>
      </c>
      <c r="G162" s="154" t="str">
        <f t="shared" si="89"/>
        <v>-</v>
      </c>
      <c r="H162" s="154" t="str">
        <f t="shared" si="89"/>
        <v>-</v>
      </c>
      <c r="I162" s="154" t="str">
        <f t="shared" si="89"/>
        <v>-</v>
      </c>
      <c r="J162" s="154" t="str">
        <f t="shared" si="89"/>
        <v>-</v>
      </c>
      <c r="K162" s="154" t="str">
        <f t="shared" si="89"/>
        <v>-</v>
      </c>
      <c r="L162" s="154" t="str">
        <f t="shared" si="89"/>
        <v>-</v>
      </c>
      <c r="M162" s="154" t="str">
        <f t="shared" si="89"/>
        <v>-</v>
      </c>
      <c r="N162" s="154" t="str">
        <f t="shared" si="89"/>
        <v>-</v>
      </c>
      <c r="O162" s="48"/>
    </row>
    <row r="163" spans="1:15">
      <c r="A163" s="47"/>
      <c r="B163" s="86" t="s">
        <v>198</v>
      </c>
      <c r="C163" s="153">
        <f t="shared" ref="C163:N163" si="90">IFERROR(C160-C159,"-")</f>
        <v>49850</v>
      </c>
      <c r="D163" s="153">
        <f t="shared" si="90"/>
        <v>19775</v>
      </c>
      <c r="E163" s="153">
        <f t="shared" si="90"/>
        <v>19850</v>
      </c>
      <c r="F163" s="153">
        <f t="shared" si="90"/>
        <v>9926</v>
      </c>
      <c r="G163" s="153">
        <f t="shared" si="90"/>
        <v>4925</v>
      </c>
      <c r="H163" s="153">
        <f t="shared" si="90"/>
        <v>4926</v>
      </c>
      <c r="I163" s="153">
        <f t="shared" si="90"/>
        <v>5000</v>
      </c>
      <c r="J163" s="153">
        <f t="shared" si="90"/>
        <v>10000</v>
      </c>
      <c r="K163" s="153">
        <f t="shared" si="90"/>
        <v>25000</v>
      </c>
      <c r="L163" s="153">
        <f t="shared" si="90"/>
        <v>20000</v>
      </c>
      <c r="M163" s="153">
        <f t="shared" si="90"/>
        <v>19998</v>
      </c>
      <c r="N163" s="153">
        <f t="shared" si="90"/>
        <v>-35384</v>
      </c>
      <c r="O163" s="48"/>
    </row>
    <row r="164" spans="1:15">
      <c r="A164" s="49"/>
      <c r="B164" s="155" t="s">
        <v>199</v>
      </c>
      <c r="C164" s="154">
        <f>IFERROR(C163/C159,"-")</f>
        <v>332.33333333333331</v>
      </c>
      <c r="D164" s="154">
        <f t="shared" ref="D164:N164" si="91">IFERROR(D163/D159,"-")</f>
        <v>87.888888888888886</v>
      </c>
      <c r="E164" s="154">
        <f t="shared" si="91"/>
        <v>132.33333333333334</v>
      </c>
      <c r="F164" s="154">
        <f t="shared" si="91"/>
        <v>134.13513513513513</v>
      </c>
      <c r="G164" s="154">
        <f t="shared" si="91"/>
        <v>65.666666666666671</v>
      </c>
      <c r="H164" s="154">
        <f t="shared" si="91"/>
        <v>66.567567567567565</v>
      </c>
      <c r="I164" s="154" t="str">
        <f t="shared" si="91"/>
        <v>-</v>
      </c>
      <c r="J164" s="154" t="str">
        <f t="shared" si="91"/>
        <v>-</v>
      </c>
      <c r="K164" s="154" t="str">
        <f t="shared" si="91"/>
        <v>-</v>
      </c>
      <c r="L164" s="154" t="str">
        <f t="shared" si="91"/>
        <v>-</v>
      </c>
      <c r="M164" s="154">
        <f t="shared" si="91"/>
        <v>9999</v>
      </c>
      <c r="N164" s="154">
        <f t="shared" si="91"/>
        <v>-0.58598304186539485</v>
      </c>
      <c r="O164" s="50"/>
    </row>
    <row r="165" spans="1:15">
      <c r="A165" s="39" t="s">
        <v>114</v>
      </c>
      <c r="B165" s="40" t="s">
        <v>194</v>
      </c>
      <c r="C165" s="41">
        <f>'Forecast Input'!D94</f>
        <v>10202.616908</v>
      </c>
      <c r="D165" s="41">
        <f>'Forecast Input'!E94</f>
        <v>11728.955408</v>
      </c>
      <c r="E165" s="41">
        <f>'Forecast Input'!F94</f>
        <v>13670.576889</v>
      </c>
      <c r="F165" s="41">
        <f>'Forecast Input'!G94</f>
        <v>0</v>
      </c>
      <c r="G165" s="41">
        <f>'Forecast Input'!H94</f>
        <v>0</v>
      </c>
      <c r="H165" s="41">
        <f>'Forecast Input'!I94</f>
        <v>0</v>
      </c>
      <c r="I165" s="41">
        <f>'Forecast Input'!J94</f>
        <v>0</v>
      </c>
      <c r="J165" s="41">
        <f>'Forecast Input'!K94</f>
        <v>0</v>
      </c>
      <c r="K165" s="41">
        <f>'Forecast Input'!L94</f>
        <v>0</v>
      </c>
      <c r="L165" s="41">
        <f>'Forecast Input'!M94</f>
        <v>0</v>
      </c>
      <c r="M165" s="41">
        <f>'Forecast Input'!N94</f>
        <v>0</v>
      </c>
      <c r="N165" s="41">
        <f>'Forecast Input'!O94</f>
        <v>0</v>
      </c>
      <c r="O165" s="42">
        <f>SUM(C165:N165)</f>
        <v>35602.149204999994</v>
      </c>
    </row>
    <row r="166" spans="1:15">
      <c r="A166" s="43"/>
      <c r="B166" s="33" t="s">
        <v>23</v>
      </c>
      <c r="C166" s="22">
        <v>132371</v>
      </c>
      <c r="D166" s="22">
        <v>108407</v>
      </c>
      <c r="E166" s="22">
        <v>41046</v>
      </c>
      <c r="F166" s="22">
        <v>51722</v>
      </c>
      <c r="G166" s="22">
        <v>11297</v>
      </c>
      <c r="H166" s="22">
        <v>25211</v>
      </c>
      <c r="I166" s="22">
        <v>7920</v>
      </c>
      <c r="J166" s="22">
        <v>58861</v>
      </c>
      <c r="K166" s="22">
        <v>22808</v>
      </c>
      <c r="L166" s="22">
        <v>13101</v>
      </c>
      <c r="M166" s="22">
        <v>14222</v>
      </c>
      <c r="N166" s="22">
        <v>18446</v>
      </c>
      <c r="O166" s="44">
        <f>SUM(C166:N166)</f>
        <v>505412</v>
      </c>
    </row>
    <row r="167" spans="1:15">
      <c r="A167" s="45"/>
      <c r="B167" s="34" t="s">
        <v>160</v>
      </c>
      <c r="C167" s="17">
        <f>'Forecast Input'!D95</f>
        <v>15000</v>
      </c>
      <c r="D167" s="17">
        <f>'Forecast Input'!E95</f>
        <v>15000</v>
      </c>
      <c r="E167" s="17">
        <f>'Forecast Input'!F95</f>
        <v>15000</v>
      </c>
      <c r="F167" s="17">
        <f>'Forecast Input'!G95</f>
        <v>15000</v>
      </c>
      <c r="G167" s="17">
        <f>'Forecast Input'!H95</f>
        <v>15000</v>
      </c>
      <c r="H167" s="17">
        <f>'Forecast Input'!I95</f>
        <v>15000</v>
      </c>
      <c r="I167" s="17">
        <f>'Forecast Input'!J95</f>
        <v>20000</v>
      </c>
      <c r="J167" s="17">
        <f>'Forecast Input'!K95</f>
        <v>20000</v>
      </c>
      <c r="K167" s="17">
        <f>'Forecast Input'!L95</f>
        <v>20000</v>
      </c>
      <c r="L167" s="17">
        <f>'Forecast Input'!M95</f>
        <v>30000</v>
      </c>
      <c r="M167" s="17">
        <f>'Forecast Input'!N95</f>
        <v>30000</v>
      </c>
      <c r="N167" s="17">
        <f>'Forecast Input'!O95</f>
        <v>30000</v>
      </c>
      <c r="O167" s="46">
        <f>SUM(C167:N167)</f>
        <v>240000</v>
      </c>
    </row>
    <row r="168" spans="1:15">
      <c r="A168" s="47"/>
      <c r="B168" s="86" t="s">
        <v>196</v>
      </c>
      <c r="C168" s="153">
        <f>IF(C165=0,"-",C165-C167)</f>
        <v>-4797.383092</v>
      </c>
      <c r="D168" s="153">
        <f t="shared" ref="D168:N168" si="92">IF(D165=0,"-",D165-D167)</f>
        <v>-3271.0445920000002</v>
      </c>
      <c r="E168" s="153">
        <f t="shared" si="92"/>
        <v>-1329.4231110000001</v>
      </c>
      <c r="F168" s="153" t="str">
        <f t="shared" si="92"/>
        <v>-</v>
      </c>
      <c r="G168" s="153" t="str">
        <f t="shared" si="92"/>
        <v>-</v>
      </c>
      <c r="H168" s="153" t="str">
        <f t="shared" si="92"/>
        <v>-</v>
      </c>
      <c r="I168" s="153" t="str">
        <f t="shared" si="92"/>
        <v>-</v>
      </c>
      <c r="J168" s="153" t="str">
        <f t="shared" si="92"/>
        <v>-</v>
      </c>
      <c r="K168" s="153" t="str">
        <f t="shared" si="92"/>
        <v>-</v>
      </c>
      <c r="L168" s="153" t="str">
        <f t="shared" si="92"/>
        <v>-</v>
      </c>
      <c r="M168" s="153" t="str">
        <f t="shared" si="92"/>
        <v>-</v>
      </c>
      <c r="N168" s="153" t="str">
        <f t="shared" si="92"/>
        <v>-</v>
      </c>
      <c r="O168" s="48"/>
    </row>
    <row r="169" spans="1:15">
      <c r="A169" s="47"/>
      <c r="B169" s="86" t="s">
        <v>197</v>
      </c>
      <c r="C169" s="154">
        <f>IFERROR(C168/C165,"-")</f>
        <v>-0.4702110385266266</v>
      </c>
      <c r="D169" s="154">
        <f t="shared" ref="D169:N169" si="93">IFERROR(D168/D165,"-")</f>
        <v>-0.2788862672091762</v>
      </c>
      <c r="E169" s="154">
        <f t="shared" si="93"/>
        <v>-9.7247038058044022E-2</v>
      </c>
      <c r="F169" s="154" t="str">
        <f t="shared" si="93"/>
        <v>-</v>
      </c>
      <c r="G169" s="154" t="str">
        <f t="shared" si="93"/>
        <v>-</v>
      </c>
      <c r="H169" s="154" t="str">
        <f t="shared" si="93"/>
        <v>-</v>
      </c>
      <c r="I169" s="154" t="str">
        <f t="shared" si="93"/>
        <v>-</v>
      </c>
      <c r="J169" s="154" t="str">
        <f t="shared" si="93"/>
        <v>-</v>
      </c>
      <c r="K169" s="154" t="str">
        <f t="shared" si="93"/>
        <v>-</v>
      </c>
      <c r="L169" s="154" t="str">
        <f t="shared" si="93"/>
        <v>-</v>
      </c>
      <c r="M169" s="154" t="str">
        <f t="shared" si="93"/>
        <v>-</v>
      </c>
      <c r="N169" s="154" t="str">
        <f t="shared" si="93"/>
        <v>-</v>
      </c>
      <c r="O169" s="48"/>
    </row>
    <row r="170" spans="1:15">
      <c r="A170" s="47"/>
      <c r="B170" s="86" t="s">
        <v>198</v>
      </c>
      <c r="C170" s="153">
        <f t="shared" ref="C170:N170" si="94">IFERROR(C167-C166,"-")</f>
        <v>-117371</v>
      </c>
      <c r="D170" s="153">
        <f t="shared" si="94"/>
        <v>-93407</v>
      </c>
      <c r="E170" s="153">
        <f t="shared" si="94"/>
        <v>-26046</v>
      </c>
      <c r="F170" s="153">
        <f t="shared" si="94"/>
        <v>-36722</v>
      </c>
      <c r="G170" s="153">
        <f t="shared" si="94"/>
        <v>3703</v>
      </c>
      <c r="H170" s="153">
        <f t="shared" si="94"/>
        <v>-10211</v>
      </c>
      <c r="I170" s="153">
        <f t="shared" si="94"/>
        <v>12080</v>
      </c>
      <c r="J170" s="153">
        <f t="shared" si="94"/>
        <v>-38861</v>
      </c>
      <c r="K170" s="153">
        <f t="shared" si="94"/>
        <v>-2808</v>
      </c>
      <c r="L170" s="153">
        <f t="shared" si="94"/>
        <v>16899</v>
      </c>
      <c r="M170" s="153">
        <f t="shared" si="94"/>
        <v>15778</v>
      </c>
      <c r="N170" s="153">
        <f t="shared" si="94"/>
        <v>11554</v>
      </c>
      <c r="O170" s="48"/>
    </row>
    <row r="171" spans="1:15" ht="15.95" thickBot="1">
      <c r="A171" s="49"/>
      <c r="B171" s="155" t="s">
        <v>199</v>
      </c>
      <c r="C171" s="154">
        <f>IFERROR(C170/C166,"-")</f>
        <v>-0.88668212826072179</v>
      </c>
      <c r="D171" s="154">
        <f t="shared" ref="D171:N171" si="95">IFERROR(D170/D166,"-")</f>
        <v>-0.86163255140350714</v>
      </c>
      <c r="E171" s="154">
        <f t="shared" si="95"/>
        <v>-0.63455635141061251</v>
      </c>
      <c r="F171" s="154">
        <f t="shared" si="95"/>
        <v>-0.70998801283786395</v>
      </c>
      <c r="G171" s="154">
        <f t="shared" si="95"/>
        <v>0.32778613791272021</v>
      </c>
      <c r="H171" s="154">
        <f t="shared" si="95"/>
        <v>-0.40502161754789578</v>
      </c>
      <c r="I171" s="154">
        <f t="shared" si="95"/>
        <v>1.5252525252525253</v>
      </c>
      <c r="J171" s="154">
        <f t="shared" si="95"/>
        <v>-0.66021644212636554</v>
      </c>
      <c r="K171" s="154">
        <f t="shared" si="95"/>
        <v>-0.12311469659768502</v>
      </c>
      <c r="L171" s="154">
        <f t="shared" si="95"/>
        <v>1.2899015342340279</v>
      </c>
      <c r="M171" s="154">
        <f t="shared" si="95"/>
        <v>1.1094079594993671</v>
      </c>
      <c r="N171" s="154">
        <f t="shared" si="95"/>
        <v>0.6263688604575518</v>
      </c>
      <c r="O171" s="50"/>
    </row>
    <row r="172" spans="1:15">
      <c r="A172" s="39" t="s">
        <v>115</v>
      </c>
      <c r="B172" s="40" t="s">
        <v>194</v>
      </c>
      <c r="C172" s="41">
        <f>'Forecast Input'!D96</f>
        <v>564.95599800000002</v>
      </c>
      <c r="D172" s="41">
        <f>'Forecast Input'!E96</f>
        <v>935.49918200000002</v>
      </c>
      <c r="E172" s="41">
        <f>'Forecast Input'!F96</f>
        <v>209.729871</v>
      </c>
      <c r="F172" s="41">
        <f>'Forecast Input'!G96</f>
        <v>0</v>
      </c>
      <c r="G172" s="41">
        <f>'Forecast Input'!H96</f>
        <v>0</v>
      </c>
      <c r="H172" s="41">
        <f>'Forecast Input'!I96</f>
        <v>0</v>
      </c>
      <c r="I172" s="41">
        <f>'Forecast Input'!J96</f>
        <v>0</v>
      </c>
      <c r="J172" s="41">
        <f>'Forecast Input'!K96</f>
        <v>0</v>
      </c>
      <c r="K172" s="41">
        <f>'Forecast Input'!L96</f>
        <v>0</v>
      </c>
      <c r="L172" s="41">
        <f>'Forecast Input'!M96</f>
        <v>0</v>
      </c>
      <c r="M172" s="41">
        <f>'Forecast Input'!N96</f>
        <v>0</v>
      </c>
      <c r="N172" s="41">
        <f>'Forecast Input'!O96</f>
        <v>0</v>
      </c>
      <c r="O172" s="42">
        <f>SUM(C172:N172)</f>
        <v>1710.1850509999999</v>
      </c>
    </row>
    <row r="173" spans="1:15">
      <c r="A173" s="43"/>
      <c r="B173" s="33" t="s">
        <v>23</v>
      </c>
      <c r="C173" s="22">
        <v>0</v>
      </c>
      <c r="D173" s="22">
        <v>0</v>
      </c>
      <c r="E173" s="22">
        <v>0</v>
      </c>
      <c r="F173" s="22">
        <v>786</v>
      </c>
      <c r="G173" s="22">
        <v>-288</v>
      </c>
      <c r="H173" s="22">
        <v>0</v>
      </c>
      <c r="I173" s="22">
        <v>1356</v>
      </c>
      <c r="J173" s="22">
        <v>-309</v>
      </c>
      <c r="K173" s="22">
        <v>1346</v>
      </c>
      <c r="L173" s="22">
        <v>1216</v>
      </c>
      <c r="M173" s="22">
        <v>2408</v>
      </c>
      <c r="N173" s="22">
        <v>607</v>
      </c>
      <c r="O173" s="44">
        <f>SUM(C173:N173)</f>
        <v>7122</v>
      </c>
    </row>
    <row r="174" spans="1:15">
      <c r="A174" s="45"/>
      <c r="B174" s="34" t="s">
        <v>160</v>
      </c>
      <c r="C174" s="17">
        <f>'Forecast Input'!D97</f>
        <v>500</v>
      </c>
      <c r="D174" s="17">
        <f>'Forecast Input'!E97</f>
        <v>500</v>
      </c>
      <c r="E174" s="17">
        <f>'Forecast Input'!F97</f>
        <v>500</v>
      </c>
      <c r="F174" s="17">
        <f>'Forecast Input'!G97</f>
        <v>500</v>
      </c>
      <c r="G174" s="17">
        <f>'Forecast Input'!H97</f>
        <v>500</v>
      </c>
      <c r="H174" s="17">
        <f>'Forecast Input'!I97</f>
        <v>500</v>
      </c>
      <c r="I174" s="17">
        <f>'Forecast Input'!J97</f>
        <v>500</v>
      </c>
      <c r="J174" s="17">
        <f>'Forecast Input'!K97</f>
        <v>500</v>
      </c>
      <c r="K174" s="17">
        <f>'Forecast Input'!L97</f>
        <v>500</v>
      </c>
      <c r="L174" s="17">
        <f>'Forecast Input'!M97</f>
        <v>500</v>
      </c>
      <c r="M174" s="17">
        <f>'Forecast Input'!N97</f>
        <v>500</v>
      </c>
      <c r="N174" s="17">
        <f>'Forecast Input'!O97</f>
        <v>500</v>
      </c>
      <c r="O174" s="46">
        <f>SUM(C174:N174)</f>
        <v>6000</v>
      </c>
    </row>
    <row r="175" spans="1:15">
      <c r="A175" s="47"/>
      <c r="B175" s="86" t="s">
        <v>196</v>
      </c>
      <c r="C175" s="153">
        <f>IF(C172=0,"-",C172-C174)</f>
        <v>64.955998000000022</v>
      </c>
      <c r="D175" s="153">
        <f t="shared" ref="D175:N175" si="96">IF(D172=0,"-",D172-D174)</f>
        <v>435.49918200000002</v>
      </c>
      <c r="E175" s="153">
        <f t="shared" si="96"/>
        <v>-290.270129</v>
      </c>
      <c r="F175" s="153" t="str">
        <f t="shared" si="96"/>
        <v>-</v>
      </c>
      <c r="G175" s="153" t="str">
        <f t="shared" si="96"/>
        <v>-</v>
      </c>
      <c r="H175" s="153" t="str">
        <f t="shared" si="96"/>
        <v>-</v>
      </c>
      <c r="I175" s="153" t="str">
        <f t="shared" si="96"/>
        <v>-</v>
      </c>
      <c r="J175" s="153" t="str">
        <f t="shared" si="96"/>
        <v>-</v>
      </c>
      <c r="K175" s="153" t="str">
        <f t="shared" si="96"/>
        <v>-</v>
      </c>
      <c r="L175" s="153" t="str">
        <f t="shared" si="96"/>
        <v>-</v>
      </c>
      <c r="M175" s="153" t="str">
        <f t="shared" si="96"/>
        <v>-</v>
      </c>
      <c r="N175" s="153" t="str">
        <f t="shared" si="96"/>
        <v>-</v>
      </c>
      <c r="O175" s="48"/>
    </row>
    <row r="176" spans="1:15">
      <c r="A176" s="47"/>
      <c r="B176" s="86" t="s">
        <v>197</v>
      </c>
      <c r="C176" s="154">
        <f>IFERROR(C175/C172,"-")</f>
        <v>0.1149753223790006</v>
      </c>
      <c r="D176" s="154">
        <f t="shared" ref="D176:N176" si="97">IFERROR(D175/D172,"-")</f>
        <v>0.46552598909701665</v>
      </c>
      <c r="E176" s="154">
        <f t="shared" si="97"/>
        <v>-1.3840190127232759</v>
      </c>
      <c r="F176" s="154" t="str">
        <f t="shared" si="97"/>
        <v>-</v>
      </c>
      <c r="G176" s="154" t="str">
        <f t="shared" si="97"/>
        <v>-</v>
      </c>
      <c r="H176" s="154" t="str">
        <f t="shared" si="97"/>
        <v>-</v>
      </c>
      <c r="I176" s="154" t="str">
        <f t="shared" si="97"/>
        <v>-</v>
      </c>
      <c r="J176" s="154" t="str">
        <f t="shared" si="97"/>
        <v>-</v>
      </c>
      <c r="K176" s="154" t="str">
        <f t="shared" si="97"/>
        <v>-</v>
      </c>
      <c r="L176" s="154" t="str">
        <f t="shared" si="97"/>
        <v>-</v>
      </c>
      <c r="M176" s="154" t="str">
        <f t="shared" si="97"/>
        <v>-</v>
      </c>
      <c r="N176" s="154" t="str">
        <f t="shared" si="97"/>
        <v>-</v>
      </c>
      <c r="O176" s="48"/>
    </row>
    <row r="177" spans="1:15">
      <c r="A177" s="47"/>
      <c r="B177" s="86" t="s">
        <v>198</v>
      </c>
      <c r="C177" s="153">
        <f t="shared" ref="C177:N177" si="98">IFERROR(C174-C173,"-")</f>
        <v>500</v>
      </c>
      <c r="D177" s="153">
        <f t="shared" si="98"/>
        <v>500</v>
      </c>
      <c r="E177" s="153">
        <f t="shared" si="98"/>
        <v>500</v>
      </c>
      <c r="F177" s="153">
        <f t="shared" si="98"/>
        <v>-286</v>
      </c>
      <c r="G177" s="153">
        <f t="shared" si="98"/>
        <v>788</v>
      </c>
      <c r="H177" s="153">
        <f t="shared" si="98"/>
        <v>500</v>
      </c>
      <c r="I177" s="153">
        <f t="shared" si="98"/>
        <v>-856</v>
      </c>
      <c r="J177" s="153">
        <f t="shared" si="98"/>
        <v>809</v>
      </c>
      <c r="K177" s="153">
        <f t="shared" si="98"/>
        <v>-846</v>
      </c>
      <c r="L177" s="153">
        <f t="shared" si="98"/>
        <v>-716</v>
      </c>
      <c r="M177" s="153">
        <f t="shared" si="98"/>
        <v>-1908</v>
      </c>
      <c r="N177" s="153">
        <f t="shared" si="98"/>
        <v>-107</v>
      </c>
      <c r="O177" s="48"/>
    </row>
    <row r="178" spans="1:15" ht="15.95" thickBot="1">
      <c r="A178" s="49"/>
      <c r="B178" s="155" t="s">
        <v>199</v>
      </c>
      <c r="C178" s="154" t="str">
        <f>IFERROR(C177/C173,"-")</f>
        <v>-</v>
      </c>
      <c r="D178" s="154" t="str">
        <f t="shared" ref="D178:N178" si="99">IFERROR(D177/D173,"-")</f>
        <v>-</v>
      </c>
      <c r="E178" s="154" t="str">
        <f t="shared" si="99"/>
        <v>-</v>
      </c>
      <c r="F178" s="154">
        <f t="shared" si="99"/>
        <v>-0.36386768447837148</v>
      </c>
      <c r="G178" s="154">
        <f t="shared" si="99"/>
        <v>-2.7361111111111112</v>
      </c>
      <c r="H178" s="154" t="str">
        <f t="shared" si="99"/>
        <v>-</v>
      </c>
      <c r="I178" s="154">
        <f t="shared" si="99"/>
        <v>-0.63126843657817111</v>
      </c>
      <c r="J178" s="154">
        <f t="shared" si="99"/>
        <v>-2.6181229773462782</v>
      </c>
      <c r="K178" s="154">
        <f t="shared" si="99"/>
        <v>-0.62852897473997027</v>
      </c>
      <c r="L178" s="154">
        <f t="shared" si="99"/>
        <v>-0.58881578947368418</v>
      </c>
      <c r="M178" s="154">
        <f t="shared" si="99"/>
        <v>-0.79235880398671099</v>
      </c>
      <c r="N178" s="154">
        <f t="shared" si="99"/>
        <v>-0.17627677100494235</v>
      </c>
      <c r="O178" s="50"/>
    </row>
    <row r="179" spans="1:15">
      <c r="A179" s="39" t="s">
        <v>116</v>
      </c>
      <c r="B179" s="40" t="s">
        <v>194</v>
      </c>
      <c r="C179" s="41">
        <f>'Forecast Input'!D98</f>
        <v>251.00370000000001</v>
      </c>
      <c r="D179" s="41">
        <f>'Forecast Input'!E98</f>
        <v>-133.23708099999999</v>
      </c>
      <c r="E179" s="41">
        <f>'Forecast Input'!F98</f>
        <v>516.74519299999997</v>
      </c>
      <c r="F179" s="41">
        <f>'Forecast Input'!G98</f>
        <v>0</v>
      </c>
      <c r="G179" s="41">
        <f>'Forecast Input'!H98</f>
        <v>0</v>
      </c>
      <c r="H179" s="41">
        <f>'Forecast Input'!I98</f>
        <v>0</v>
      </c>
      <c r="I179" s="41">
        <f>'Forecast Input'!J98</f>
        <v>0</v>
      </c>
      <c r="J179" s="41">
        <f>'Forecast Input'!K98</f>
        <v>0</v>
      </c>
      <c r="K179" s="41">
        <f>'Forecast Input'!L98</f>
        <v>0</v>
      </c>
      <c r="L179" s="41">
        <f>'Forecast Input'!M98</f>
        <v>0</v>
      </c>
      <c r="M179" s="41">
        <f>'Forecast Input'!N98</f>
        <v>0</v>
      </c>
      <c r="N179" s="41">
        <f>'Forecast Input'!O98</f>
        <v>0</v>
      </c>
      <c r="O179" s="42">
        <f>SUM(C179:N179)</f>
        <v>634.51181199999996</v>
      </c>
    </row>
    <row r="180" spans="1:15">
      <c r="A180" s="43"/>
      <c r="B180" s="33" t="s">
        <v>23</v>
      </c>
      <c r="C180" s="22">
        <v>697</v>
      </c>
      <c r="D180" s="22">
        <v>1004</v>
      </c>
      <c r="E180" s="22">
        <v>3482</v>
      </c>
      <c r="F180" s="22">
        <v>4746</v>
      </c>
      <c r="G180" s="22">
        <v>2384</v>
      </c>
      <c r="H180" s="22">
        <v>1283</v>
      </c>
      <c r="I180" s="22">
        <v>3168</v>
      </c>
      <c r="J180" s="22">
        <v>960</v>
      </c>
      <c r="K180" s="22">
        <v>333</v>
      </c>
      <c r="L180" s="22">
        <v>425</v>
      </c>
      <c r="M180" s="22">
        <v>370</v>
      </c>
      <c r="N180" s="22">
        <v>337</v>
      </c>
      <c r="O180" s="44">
        <f>SUM(C180:N180)</f>
        <v>19189</v>
      </c>
    </row>
    <row r="181" spans="1:15">
      <c r="A181" s="45"/>
      <c r="B181" s="34" t="s">
        <v>160</v>
      </c>
      <c r="C181" s="17">
        <f>'Forecast Input'!D99</f>
        <v>0</v>
      </c>
      <c r="D181" s="17">
        <f>'Forecast Input'!E99</f>
        <v>0</v>
      </c>
      <c r="E181" s="17">
        <f>'Forecast Input'!F99</f>
        <v>0</v>
      </c>
      <c r="F181" s="17">
        <f>'Forecast Input'!G99</f>
        <v>0</v>
      </c>
      <c r="G181" s="17">
        <f>'Forecast Input'!H99</f>
        <v>0</v>
      </c>
      <c r="H181" s="17">
        <f>'Forecast Input'!I99</f>
        <v>0</v>
      </c>
      <c r="I181" s="17">
        <f>'Forecast Input'!J99</f>
        <v>0</v>
      </c>
      <c r="J181" s="17">
        <f>'Forecast Input'!K99</f>
        <v>0</v>
      </c>
      <c r="K181" s="17">
        <f>'Forecast Input'!L99</f>
        <v>0</v>
      </c>
      <c r="L181" s="17">
        <f>'Forecast Input'!M99</f>
        <v>0</v>
      </c>
      <c r="M181" s="17">
        <f>'Forecast Input'!N99</f>
        <v>0</v>
      </c>
      <c r="N181" s="17">
        <f>'Forecast Input'!O99</f>
        <v>0</v>
      </c>
      <c r="O181" s="46">
        <f>SUM(C181:N181)</f>
        <v>0</v>
      </c>
    </row>
    <row r="182" spans="1:15">
      <c r="A182" s="47"/>
      <c r="B182" s="86" t="s">
        <v>196</v>
      </c>
      <c r="C182" s="153">
        <f>IF(C179=0,"-",C179-C181)</f>
        <v>251.00370000000001</v>
      </c>
      <c r="D182" s="153">
        <f t="shared" ref="D182:N182" si="100">IF(D179=0,"-",D179-D181)</f>
        <v>-133.23708099999999</v>
      </c>
      <c r="E182" s="153">
        <f t="shared" si="100"/>
        <v>516.74519299999997</v>
      </c>
      <c r="F182" s="153" t="str">
        <f t="shared" si="100"/>
        <v>-</v>
      </c>
      <c r="G182" s="153" t="str">
        <f t="shared" si="100"/>
        <v>-</v>
      </c>
      <c r="H182" s="153" t="str">
        <f t="shared" si="100"/>
        <v>-</v>
      </c>
      <c r="I182" s="153" t="str">
        <f t="shared" si="100"/>
        <v>-</v>
      </c>
      <c r="J182" s="153" t="str">
        <f t="shared" si="100"/>
        <v>-</v>
      </c>
      <c r="K182" s="153" t="str">
        <f t="shared" si="100"/>
        <v>-</v>
      </c>
      <c r="L182" s="153" t="str">
        <f t="shared" si="100"/>
        <v>-</v>
      </c>
      <c r="M182" s="153" t="str">
        <f t="shared" si="100"/>
        <v>-</v>
      </c>
      <c r="N182" s="153" t="str">
        <f t="shared" si="100"/>
        <v>-</v>
      </c>
      <c r="O182" s="48"/>
    </row>
    <row r="183" spans="1:15">
      <c r="A183" s="47"/>
      <c r="B183" s="86" t="s">
        <v>197</v>
      </c>
      <c r="C183" s="154">
        <f>IFERROR(C182/C179,"-")</f>
        <v>1</v>
      </c>
      <c r="D183" s="154">
        <f t="shared" ref="D183:N183" si="101">IFERROR(D182/D179,"-")</f>
        <v>1</v>
      </c>
      <c r="E183" s="154">
        <f t="shared" si="101"/>
        <v>1</v>
      </c>
      <c r="F183" s="154" t="str">
        <f t="shared" si="101"/>
        <v>-</v>
      </c>
      <c r="G183" s="154" t="str">
        <f t="shared" si="101"/>
        <v>-</v>
      </c>
      <c r="H183" s="154" t="str">
        <f t="shared" si="101"/>
        <v>-</v>
      </c>
      <c r="I183" s="154" t="str">
        <f t="shared" si="101"/>
        <v>-</v>
      </c>
      <c r="J183" s="154" t="str">
        <f t="shared" si="101"/>
        <v>-</v>
      </c>
      <c r="K183" s="154" t="str">
        <f t="shared" si="101"/>
        <v>-</v>
      </c>
      <c r="L183" s="154" t="str">
        <f t="shared" si="101"/>
        <v>-</v>
      </c>
      <c r="M183" s="154" t="str">
        <f t="shared" si="101"/>
        <v>-</v>
      </c>
      <c r="N183" s="154" t="str">
        <f t="shared" si="101"/>
        <v>-</v>
      </c>
      <c r="O183" s="48"/>
    </row>
    <row r="184" spans="1:15">
      <c r="A184" s="47"/>
      <c r="B184" s="86" t="s">
        <v>198</v>
      </c>
      <c r="C184" s="153">
        <f t="shared" ref="C184:N184" si="102">IFERROR(C181-C180,"-")</f>
        <v>-697</v>
      </c>
      <c r="D184" s="153">
        <f t="shared" si="102"/>
        <v>-1004</v>
      </c>
      <c r="E184" s="153">
        <f t="shared" si="102"/>
        <v>-3482</v>
      </c>
      <c r="F184" s="153">
        <f t="shared" si="102"/>
        <v>-4746</v>
      </c>
      <c r="G184" s="153">
        <f t="shared" si="102"/>
        <v>-2384</v>
      </c>
      <c r="H184" s="153">
        <f t="shared" si="102"/>
        <v>-1283</v>
      </c>
      <c r="I184" s="153">
        <f t="shared" si="102"/>
        <v>-3168</v>
      </c>
      <c r="J184" s="153">
        <f t="shared" si="102"/>
        <v>-960</v>
      </c>
      <c r="K184" s="153">
        <f t="shared" si="102"/>
        <v>-333</v>
      </c>
      <c r="L184" s="153">
        <f t="shared" si="102"/>
        <v>-425</v>
      </c>
      <c r="M184" s="153">
        <f t="shared" si="102"/>
        <v>-370</v>
      </c>
      <c r="N184" s="153">
        <f t="shared" si="102"/>
        <v>-337</v>
      </c>
      <c r="O184" s="48"/>
    </row>
    <row r="185" spans="1:15" ht="15.95" thickBot="1">
      <c r="A185" s="49"/>
      <c r="B185" s="155" t="s">
        <v>199</v>
      </c>
      <c r="C185" s="154">
        <f>IFERROR(C184/C180,"-")</f>
        <v>-1</v>
      </c>
      <c r="D185" s="154">
        <f t="shared" ref="D185:N185" si="103">IFERROR(D184/D180,"-")</f>
        <v>-1</v>
      </c>
      <c r="E185" s="154">
        <f t="shared" si="103"/>
        <v>-1</v>
      </c>
      <c r="F185" s="154">
        <f t="shared" si="103"/>
        <v>-1</v>
      </c>
      <c r="G185" s="154">
        <f t="shared" si="103"/>
        <v>-1</v>
      </c>
      <c r="H185" s="154">
        <f t="shared" si="103"/>
        <v>-1</v>
      </c>
      <c r="I185" s="154">
        <f t="shared" si="103"/>
        <v>-1</v>
      </c>
      <c r="J185" s="154">
        <f t="shared" si="103"/>
        <v>-1</v>
      </c>
      <c r="K185" s="154">
        <f t="shared" si="103"/>
        <v>-1</v>
      </c>
      <c r="L185" s="154">
        <f t="shared" si="103"/>
        <v>-1</v>
      </c>
      <c r="M185" s="154">
        <f t="shared" si="103"/>
        <v>-1</v>
      </c>
      <c r="N185" s="154">
        <f t="shared" si="103"/>
        <v>-1</v>
      </c>
      <c r="O185" s="50"/>
    </row>
    <row r="186" spans="1:15">
      <c r="A186" s="39" t="s">
        <v>117</v>
      </c>
      <c r="B186" s="40" t="s">
        <v>194</v>
      </c>
      <c r="C186" s="41">
        <f>'Forecast Input'!D100</f>
        <v>202.818637</v>
      </c>
      <c r="D186" s="41">
        <f>'Forecast Input'!E100</f>
        <v>86.489926999999994</v>
      </c>
      <c r="E186" s="41">
        <f>'Forecast Input'!F100</f>
        <v>106.29764299999999</v>
      </c>
      <c r="F186" s="41">
        <f>'Forecast Input'!G100</f>
        <v>0</v>
      </c>
      <c r="G186" s="41">
        <f>'Forecast Input'!H100</f>
        <v>0</v>
      </c>
      <c r="H186" s="41">
        <f>'Forecast Input'!I100</f>
        <v>0</v>
      </c>
      <c r="I186" s="41">
        <f>'Forecast Input'!J100</f>
        <v>0</v>
      </c>
      <c r="J186" s="41">
        <f>'Forecast Input'!K100</f>
        <v>0</v>
      </c>
      <c r="K186" s="41">
        <f>'Forecast Input'!L100</f>
        <v>0</v>
      </c>
      <c r="L186" s="41">
        <f>'Forecast Input'!M100</f>
        <v>0</v>
      </c>
      <c r="M186" s="41">
        <f>'Forecast Input'!N100</f>
        <v>0</v>
      </c>
      <c r="N186" s="41">
        <f>'Forecast Input'!O100</f>
        <v>0</v>
      </c>
      <c r="O186" s="42">
        <f>SUM(C186:N186)</f>
        <v>395.60620699999998</v>
      </c>
    </row>
    <row r="187" spans="1:15">
      <c r="A187" s="43"/>
      <c r="B187" s="33" t="s">
        <v>23</v>
      </c>
      <c r="C187" s="22"/>
      <c r="D187" s="22">
        <v>41</v>
      </c>
      <c r="E187" s="22">
        <v>43</v>
      </c>
      <c r="F187" s="22">
        <v>37</v>
      </c>
      <c r="G187" s="22">
        <v>116</v>
      </c>
      <c r="H187" s="22">
        <v>58</v>
      </c>
      <c r="I187" s="22">
        <v>107</v>
      </c>
      <c r="J187" s="22">
        <v>92</v>
      </c>
      <c r="K187" s="22">
        <v>412</v>
      </c>
      <c r="L187" s="22">
        <v>319</v>
      </c>
      <c r="M187" s="22">
        <v>174</v>
      </c>
      <c r="N187" s="22">
        <v>198</v>
      </c>
      <c r="O187" s="44">
        <f>SUM(C187:N187)</f>
        <v>1597</v>
      </c>
    </row>
    <row r="188" spans="1:15">
      <c r="A188" s="45"/>
      <c r="B188" s="34" t="s">
        <v>160</v>
      </c>
      <c r="C188" s="17">
        <f>'Forecast Input'!D101</f>
        <v>0</v>
      </c>
      <c r="D188" s="17">
        <f>'Forecast Input'!E101</f>
        <v>0</v>
      </c>
      <c r="E188" s="17">
        <f>'Forecast Input'!F101</f>
        <v>0</v>
      </c>
      <c r="F188" s="17">
        <f>'Forecast Input'!G101</f>
        <v>0</v>
      </c>
      <c r="G188" s="17">
        <f>'Forecast Input'!H101</f>
        <v>0</v>
      </c>
      <c r="H188" s="17">
        <f>'Forecast Input'!I101</f>
        <v>0</v>
      </c>
      <c r="I188" s="17">
        <f>'Forecast Input'!J101</f>
        <v>0</v>
      </c>
      <c r="J188" s="17">
        <f>'Forecast Input'!K101</f>
        <v>0</v>
      </c>
      <c r="K188" s="17">
        <f>'Forecast Input'!L101</f>
        <v>0</v>
      </c>
      <c r="L188" s="17">
        <f>'Forecast Input'!M101</f>
        <v>0</v>
      </c>
      <c r="M188" s="17">
        <f>'Forecast Input'!N101</f>
        <v>0</v>
      </c>
      <c r="N188" s="17">
        <f>'Forecast Input'!O101</f>
        <v>0</v>
      </c>
      <c r="O188" s="46">
        <f>SUM(C188:N188)</f>
        <v>0</v>
      </c>
    </row>
    <row r="189" spans="1:15">
      <c r="A189" s="47"/>
      <c r="B189" s="86" t="s">
        <v>196</v>
      </c>
      <c r="C189" s="153">
        <f>IF(C186=0,"-",C186-C188)</f>
        <v>202.818637</v>
      </c>
      <c r="D189" s="153">
        <f t="shared" ref="D189:N189" si="104">IF(D186=0,"-",D186-D188)</f>
        <v>86.489926999999994</v>
      </c>
      <c r="E189" s="153">
        <f t="shared" si="104"/>
        <v>106.29764299999999</v>
      </c>
      <c r="F189" s="153" t="str">
        <f t="shared" si="104"/>
        <v>-</v>
      </c>
      <c r="G189" s="153" t="str">
        <f t="shared" si="104"/>
        <v>-</v>
      </c>
      <c r="H189" s="153" t="str">
        <f t="shared" si="104"/>
        <v>-</v>
      </c>
      <c r="I189" s="153" t="str">
        <f t="shared" si="104"/>
        <v>-</v>
      </c>
      <c r="J189" s="153" t="str">
        <f t="shared" si="104"/>
        <v>-</v>
      </c>
      <c r="K189" s="153" t="str">
        <f t="shared" si="104"/>
        <v>-</v>
      </c>
      <c r="L189" s="153" t="str">
        <f t="shared" si="104"/>
        <v>-</v>
      </c>
      <c r="M189" s="153" t="str">
        <f t="shared" si="104"/>
        <v>-</v>
      </c>
      <c r="N189" s="153" t="str">
        <f t="shared" si="104"/>
        <v>-</v>
      </c>
      <c r="O189" s="48"/>
    </row>
    <row r="190" spans="1:15">
      <c r="A190" s="47"/>
      <c r="B190" s="86" t="s">
        <v>197</v>
      </c>
      <c r="C190" s="154">
        <f>IFERROR(C189/C186,"-")</f>
        <v>1</v>
      </c>
      <c r="D190" s="154">
        <f t="shared" ref="D190:N190" si="105">IFERROR(D189/D186,"-")</f>
        <v>1</v>
      </c>
      <c r="E190" s="154">
        <f t="shared" si="105"/>
        <v>1</v>
      </c>
      <c r="F190" s="154" t="str">
        <f t="shared" si="105"/>
        <v>-</v>
      </c>
      <c r="G190" s="154" t="str">
        <f t="shared" si="105"/>
        <v>-</v>
      </c>
      <c r="H190" s="154" t="str">
        <f t="shared" si="105"/>
        <v>-</v>
      </c>
      <c r="I190" s="154" t="str">
        <f t="shared" si="105"/>
        <v>-</v>
      </c>
      <c r="J190" s="154" t="str">
        <f t="shared" si="105"/>
        <v>-</v>
      </c>
      <c r="K190" s="154" t="str">
        <f t="shared" si="105"/>
        <v>-</v>
      </c>
      <c r="L190" s="154" t="str">
        <f t="shared" si="105"/>
        <v>-</v>
      </c>
      <c r="M190" s="154" t="str">
        <f t="shared" si="105"/>
        <v>-</v>
      </c>
      <c r="N190" s="154" t="str">
        <f t="shared" si="105"/>
        <v>-</v>
      </c>
      <c r="O190" s="48"/>
    </row>
    <row r="191" spans="1:15">
      <c r="A191" s="47"/>
      <c r="B191" s="86" t="s">
        <v>198</v>
      </c>
      <c r="C191" s="153">
        <f t="shared" ref="C191:N191" si="106">IFERROR(C188-C187,"-")</f>
        <v>0</v>
      </c>
      <c r="D191" s="153">
        <f t="shared" si="106"/>
        <v>-41</v>
      </c>
      <c r="E191" s="153">
        <f t="shared" si="106"/>
        <v>-43</v>
      </c>
      <c r="F191" s="153">
        <f t="shared" si="106"/>
        <v>-37</v>
      </c>
      <c r="G191" s="153">
        <f t="shared" si="106"/>
        <v>-116</v>
      </c>
      <c r="H191" s="153">
        <f t="shared" si="106"/>
        <v>-58</v>
      </c>
      <c r="I191" s="153">
        <f t="shared" si="106"/>
        <v>-107</v>
      </c>
      <c r="J191" s="153">
        <f t="shared" si="106"/>
        <v>-92</v>
      </c>
      <c r="K191" s="153">
        <f t="shared" si="106"/>
        <v>-412</v>
      </c>
      <c r="L191" s="153">
        <f t="shared" si="106"/>
        <v>-319</v>
      </c>
      <c r="M191" s="153">
        <f t="shared" si="106"/>
        <v>-174</v>
      </c>
      <c r="N191" s="153">
        <f t="shared" si="106"/>
        <v>-198</v>
      </c>
      <c r="O191" s="48"/>
    </row>
    <row r="192" spans="1:15" ht="15.95" thickBot="1">
      <c r="A192" s="49"/>
      <c r="B192" s="155" t="s">
        <v>199</v>
      </c>
      <c r="C192" s="154" t="str">
        <f>IFERROR(C191/C187,"-")</f>
        <v>-</v>
      </c>
      <c r="D192" s="154">
        <f t="shared" ref="D192:N192" si="107">IFERROR(D191/D187,"-")</f>
        <v>-1</v>
      </c>
      <c r="E192" s="154">
        <f t="shared" si="107"/>
        <v>-1</v>
      </c>
      <c r="F192" s="154">
        <f t="shared" si="107"/>
        <v>-1</v>
      </c>
      <c r="G192" s="154">
        <f t="shared" si="107"/>
        <v>-1</v>
      </c>
      <c r="H192" s="154">
        <f t="shared" si="107"/>
        <v>-1</v>
      </c>
      <c r="I192" s="154">
        <f t="shared" si="107"/>
        <v>-1</v>
      </c>
      <c r="J192" s="154">
        <f t="shared" si="107"/>
        <v>-1</v>
      </c>
      <c r="K192" s="154">
        <f t="shared" si="107"/>
        <v>-1</v>
      </c>
      <c r="L192" s="154">
        <f t="shared" si="107"/>
        <v>-1</v>
      </c>
      <c r="M192" s="154">
        <f t="shared" si="107"/>
        <v>-1</v>
      </c>
      <c r="N192" s="154">
        <f t="shared" si="107"/>
        <v>-1</v>
      </c>
      <c r="O192" s="50"/>
    </row>
    <row r="193" spans="1:15">
      <c r="A193" s="35"/>
      <c r="B193" s="35"/>
      <c r="C193" s="35"/>
      <c r="D193" s="35"/>
      <c r="E193" s="35"/>
      <c r="F193" s="35"/>
      <c r="G193" s="35"/>
      <c r="H193" s="35"/>
      <c r="I193" s="35"/>
      <c r="J193" s="35"/>
      <c r="K193" s="35"/>
      <c r="L193" s="35"/>
      <c r="M193" s="35"/>
      <c r="N193" s="35"/>
      <c r="O193" s="35"/>
    </row>
    <row r="194" spans="1:15">
      <c r="A194" s="213" t="s">
        <v>267</v>
      </c>
      <c r="B194" s="213"/>
      <c r="C194" s="29">
        <f t="shared" ref="C194:N194" si="108">IFERROR(IF(C4+C11+C18+C25+C32+C39+C46+C53+C60+C67+C74+C81+C88+C95+C102+C109+C116+C123+C130+C137+C144+C151+C158+C165+C172+C179+C186&gt;0,C4+C11+C18+C25+C32+C39+C46+C53+C60+C67+C74+C81+C88+C95+C102+C109+C116+C123+C130+C137+C144+C151+C158+C165+C172+C179+C186,C6+C13+C20+C27+C34+C41+C48+C55+C62+C69+C76+C83+C90+C97+C104+C111+C118+C125+C132+C139+C146+C153+C160+C167+C174+C181+C188),C6+C13+C20+C27+C34+C41+C48+C55+C62+C69+C76+C83+C90+C97+C104+C111+C118+C125+C132+C139+C146+C153+C160+C167+C174+C181+C188)</f>
        <v>141521.10686999999</v>
      </c>
      <c r="D194" s="29">
        <f t="shared" si="108"/>
        <v>142413.83921100001</v>
      </c>
      <c r="E194" s="29">
        <f t="shared" si="108"/>
        <v>79727.898613000012</v>
      </c>
      <c r="F194" s="29">
        <f t="shared" si="108"/>
        <v>75600</v>
      </c>
      <c r="G194" s="29">
        <f t="shared" si="108"/>
        <v>47600</v>
      </c>
      <c r="H194" s="29">
        <f t="shared" si="108"/>
        <v>47600</v>
      </c>
      <c r="I194" s="29">
        <f t="shared" si="108"/>
        <v>52600</v>
      </c>
      <c r="J194" s="29">
        <f t="shared" si="108"/>
        <v>78600</v>
      </c>
      <c r="K194" s="29">
        <f t="shared" si="108"/>
        <v>150600</v>
      </c>
      <c r="L194" s="29">
        <f t="shared" si="108"/>
        <v>131600</v>
      </c>
      <c r="M194" s="29">
        <f t="shared" si="108"/>
        <v>131600</v>
      </c>
      <c r="N194" s="29">
        <f t="shared" si="108"/>
        <v>152600</v>
      </c>
      <c r="O194" s="29">
        <f>SUM(C194:N194)</f>
        <v>1232062.844694</v>
      </c>
    </row>
  </sheetData>
  <sheetProtection sheet="1" objects="1" scenarios="1"/>
  <protectedRanges>
    <protectedRange sqref="P1:XFD1048576" name="Range1"/>
  </protectedRanges>
  <mergeCells count="3">
    <mergeCell ref="A1:O1"/>
    <mergeCell ref="A2:O2"/>
    <mergeCell ref="A194:B19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O12"/>
  <sheetViews>
    <sheetView showGridLines="0" zoomScale="90" zoomScaleNormal="90" workbookViewId="0">
      <pane xSplit="2" ySplit="3" topLeftCell="C4" activePane="bottomRight" state="frozen"/>
      <selection pane="bottomRight" activeCell="V31" sqref="V31"/>
      <selection pane="bottomLeft" activeCell="V31" sqref="V31"/>
      <selection pane="topRight" activeCell="V31" sqref="V31"/>
    </sheetView>
    <sheetView workbookViewId="1">
      <selection activeCell="J21" sqref="J21"/>
    </sheetView>
  </sheetViews>
  <sheetFormatPr defaultColWidth="8.7109375" defaultRowHeight="15"/>
  <cols>
    <col min="1" max="1" width="24" customWidth="1"/>
    <col min="2" max="2" width="20.140625" customWidth="1"/>
    <col min="3" max="14" width="11.42578125" customWidth="1"/>
    <col min="15" max="15" width="13" customWidth="1"/>
  </cols>
  <sheetData>
    <row r="1" spans="1:15" ht="23.1">
      <c r="A1" s="211" t="s">
        <v>268</v>
      </c>
      <c r="B1" s="211"/>
      <c r="C1" s="211"/>
      <c r="D1" s="211"/>
      <c r="E1" s="211"/>
      <c r="F1" s="211"/>
      <c r="G1" s="211"/>
      <c r="H1" s="211"/>
      <c r="I1" s="211"/>
      <c r="J1" s="211"/>
      <c r="K1" s="211"/>
      <c r="L1" s="211"/>
      <c r="M1" s="211"/>
      <c r="N1" s="211"/>
      <c r="O1" s="211"/>
    </row>
    <row r="2" spans="1:15" s="54" customFormat="1" ht="23.45" customHeight="1">
      <c r="A2" s="243" t="s">
        <v>193</v>
      </c>
      <c r="B2" s="243"/>
      <c r="C2" s="243"/>
      <c r="D2" s="243"/>
      <c r="E2" s="243"/>
      <c r="F2" s="243"/>
      <c r="G2" s="243"/>
      <c r="H2" s="243"/>
      <c r="I2" s="243"/>
      <c r="J2" s="243"/>
      <c r="K2" s="243"/>
      <c r="L2" s="243"/>
      <c r="M2" s="243"/>
      <c r="N2" s="243"/>
      <c r="O2" s="243"/>
    </row>
    <row r="3" spans="1:15" ht="15.95" thickBot="1">
      <c r="A3" s="38" t="s">
        <v>40</v>
      </c>
      <c r="B3" s="38" t="s">
        <v>41</v>
      </c>
      <c r="C3" s="38" t="s">
        <v>42</v>
      </c>
      <c r="D3" s="38" t="s">
        <v>43</v>
      </c>
      <c r="E3" s="38" t="s">
        <v>44</v>
      </c>
      <c r="F3" s="38" t="s">
        <v>45</v>
      </c>
      <c r="G3" s="38" t="s">
        <v>46</v>
      </c>
      <c r="H3" s="38" t="s">
        <v>47</v>
      </c>
      <c r="I3" s="38" t="s">
        <v>48</v>
      </c>
      <c r="J3" s="38" t="s">
        <v>49</v>
      </c>
      <c r="K3" s="38" t="s">
        <v>50</v>
      </c>
      <c r="L3" s="38" t="s">
        <v>51</v>
      </c>
      <c r="M3" s="38" t="s">
        <v>52</v>
      </c>
      <c r="N3" s="38" t="s">
        <v>53</v>
      </c>
      <c r="O3" s="38" t="s">
        <v>54</v>
      </c>
    </row>
    <row r="4" spans="1:15">
      <c r="A4" s="39" t="s">
        <v>87</v>
      </c>
      <c r="B4" s="40" t="s">
        <v>194</v>
      </c>
      <c r="C4" s="41">
        <f>'Forecast Input'!D45</f>
        <v>618795.87901300006</v>
      </c>
      <c r="D4" s="41">
        <f>'Forecast Input'!E45</f>
        <v>746747.74987299996</v>
      </c>
      <c r="E4" s="41">
        <f>'Forecast Input'!F45</f>
        <v>496449.57910500001</v>
      </c>
      <c r="F4" s="41">
        <f>'Forecast Input'!G45</f>
        <v>0</v>
      </c>
      <c r="G4" s="41">
        <f>'Forecast Input'!H45</f>
        <v>0</v>
      </c>
      <c r="H4" s="41">
        <f>'Forecast Input'!I45</f>
        <v>0</v>
      </c>
      <c r="I4" s="41">
        <f>'Forecast Input'!J45</f>
        <v>0</v>
      </c>
      <c r="J4" s="41">
        <f>'Forecast Input'!K45</f>
        <v>0</v>
      </c>
      <c r="K4" s="41">
        <f>'Forecast Input'!L45</f>
        <v>0</v>
      </c>
      <c r="L4" s="41">
        <f>'Forecast Input'!M45</f>
        <v>0</v>
      </c>
      <c r="M4" s="41">
        <f>'Forecast Input'!N45</f>
        <v>0</v>
      </c>
      <c r="N4" s="41">
        <f>'Forecast Input'!O45</f>
        <v>0</v>
      </c>
      <c r="O4" s="42">
        <f>SUM(C4:N4)</f>
        <v>1861993.207991</v>
      </c>
    </row>
    <row r="5" spans="1:15">
      <c r="A5" s="43"/>
      <c r="B5" s="33" t="s">
        <v>23</v>
      </c>
      <c r="C5" s="22">
        <v>149624</v>
      </c>
      <c r="D5" s="22">
        <v>138899</v>
      </c>
      <c r="E5" s="22">
        <v>87640</v>
      </c>
      <c r="F5" s="22">
        <v>76728</v>
      </c>
      <c r="G5" s="22">
        <v>45398</v>
      </c>
      <c r="H5" s="22">
        <v>150082</v>
      </c>
      <c r="I5" s="22">
        <v>95941</v>
      </c>
      <c r="J5" s="22">
        <v>57341</v>
      </c>
      <c r="K5" s="22">
        <v>96010</v>
      </c>
      <c r="L5" s="22">
        <v>103279</v>
      </c>
      <c r="M5" s="22">
        <v>242777</v>
      </c>
      <c r="N5" s="22">
        <v>306012</v>
      </c>
      <c r="O5" s="44">
        <f>SUM(C5:N5)</f>
        <v>1549731</v>
      </c>
    </row>
    <row r="6" spans="1:15">
      <c r="A6" s="45"/>
      <c r="B6" s="34" t="s">
        <v>160</v>
      </c>
      <c r="C6" s="17">
        <f>'Forecast Input'!D46</f>
        <v>500000</v>
      </c>
      <c r="D6" s="17">
        <f>'Forecast Input'!E46</f>
        <v>700000</v>
      </c>
      <c r="E6" s="17">
        <f>'Forecast Input'!F46</f>
        <v>550000</v>
      </c>
      <c r="F6" s="17">
        <f>'Forecast Input'!G46</f>
        <v>350000</v>
      </c>
      <c r="G6" s="17">
        <f>'Forecast Input'!H46</f>
        <v>300000</v>
      </c>
      <c r="H6" s="17">
        <f>'Forecast Input'!I46</f>
        <v>300000</v>
      </c>
      <c r="I6" s="17">
        <f>'Forecast Input'!J46</f>
        <v>300000</v>
      </c>
      <c r="J6" s="17">
        <f>'Forecast Input'!K46</f>
        <v>400000</v>
      </c>
      <c r="K6" s="17">
        <f>'Forecast Input'!L46</f>
        <v>600000</v>
      </c>
      <c r="L6" s="17">
        <f>'Forecast Input'!M46</f>
        <v>500000</v>
      </c>
      <c r="M6" s="17">
        <f>'Forecast Input'!N46</f>
        <v>500000</v>
      </c>
      <c r="N6" s="17">
        <f>'Forecast Input'!O46</f>
        <v>500000</v>
      </c>
      <c r="O6" s="46">
        <f>SUM(C6:N6)</f>
        <v>5500000</v>
      </c>
    </row>
    <row r="7" spans="1:15">
      <c r="A7" s="47"/>
      <c r="B7" s="86" t="s">
        <v>196</v>
      </c>
      <c r="C7" s="153">
        <f>IF(C4=0,"-",C4-C6)</f>
        <v>118795.87901300006</v>
      </c>
      <c r="D7" s="153">
        <f t="shared" ref="D7:N7" si="0">IF(D4=0,"-",D4-D6)</f>
        <v>46747.749872999964</v>
      </c>
      <c r="E7" s="153">
        <f t="shared" si="0"/>
        <v>-53550.420894999988</v>
      </c>
      <c r="F7" s="153" t="str">
        <f t="shared" si="0"/>
        <v>-</v>
      </c>
      <c r="G7" s="153" t="str">
        <f t="shared" si="0"/>
        <v>-</v>
      </c>
      <c r="H7" s="153" t="str">
        <f t="shared" si="0"/>
        <v>-</v>
      </c>
      <c r="I7" s="153" t="str">
        <f t="shared" si="0"/>
        <v>-</v>
      </c>
      <c r="J7" s="153" t="str">
        <f t="shared" si="0"/>
        <v>-</v>
      </c>
      <c r="K7" s="153" t="str">
        <f t="shared" si="0"/>
        <v>-</v>
      </c>
      <c r="L7" s="153" t="str">
        <f t="shared" si="0"/>
        <v>-</v>
      </c>
      <c r="M7" s="153" t="str">
        <f t="shared" si="0"/>
        <v>-</v>
      </c>
      <c r="N7" s="153" t="str">
        <f t="shared" si="0"/>
        <v>-</v>
      </c>
      <c r="O7" s="48"/>
    </row>
    <row r="8" spans="1:15">
      <c r="A8" s="47"/>
      <c r="B8" s="86" t="s">
        <v>197</v>
      </c>
      <c r="C8" s="154">
        <f>IFERROR(C7/C4,"-")</f>
        <v>0.19197910497155124</v>
      </c>
      <c r="D8" s="154">
        <f t="shared" ref="D8:N8" si="1">IFERROR(D7/D4,"-")</f>
        <v>6.2601795426836429E-2</v>
      </c>
      <c r="E8" s="154">
        <f t="shared" si="1"/>
        <v>-0.10786678677730126</v>
      </c>
      <c r="F8" s="154" t="str">
        <f t="shared" si="1"/>
        <v>-</v>
      </c>
      <c r="G8" s="154" t="str">
        <f t="shared" si="1"/>
        <v>-</v>
      </c>
      <c r="H8" s="154" t="str">
        <f t="shared" si="1"/>
        <v>-</v>
      </c>
      <c r="I8" s="154" t="str">
        <f t="shared" si="1"/>
        <v>-</v>
      </c>
      <c r="J8" s="154" t="str">
        <f t="shared" si="1"/>
        <v>-</v>
      </c>
      <c r="K8" s="154" t="str">
        <f t="shared" si="1"/>
        <v>-</v>
      </c>
      <c r="L8" s="154" t="str">
        <f t="shared" si="1"/>
        <v>-</v>
      </c>
      <c r="M8" s="154" t="str">
        <f t="shared" si="1"/>
        <v>-</v>
      </c>
      <c r="N8" s="154" t="str">
        <f t="shared" si="1"/>
        <v>-</v>
      </c>
      <c r="O8" s="48"/>
    </row>
    <row r="9" spans="1:15">
      <c r="A9" s="47"/>
      <c r="B9" s="86" t="s">
        <v>198</v>
      </c>
      <c r="C9" s="153">
        <f t="shared" ref="C9:N9" si="2">IFERROR(C6-C5,"-")</f>
        <v>350376</v>
      </c>
      <c r="D9" s="153">
        <f t="shared" si="2"/>
        <v>561101</v>
      </c>
      <c r="E9" s="153">
        <f t="shared" si="2"/>
        <v>462360</v>
      </c>
      <c r="F9" s="153">
        <f t="shared" si="2"/>
        <v>273272</v>
      </c>
      <c r="G9" s="153">
        <f t="shared" si="2"/>
        <v>254602</v>
      </c>
      <c r="H9" s="153">
        <f t="shared" si="2"/>
        <v>149918</v>
      </c>
      <c r="I9" s="153">
        <f t="shared" si="2"/>
        <v>204059</v>
      </c>
      <c r="J9" s="153">
        <f t="shared" si="2"/>
        <v>342659</v>
      </c>
      <c r="K9" s="153">
        <f t="shared" si="2"/>
        <v>503990</v>
      </c>
      <c r="L9" s="153">
        <f t="shared" si="2"/>
        <v>396721</v>
      </c>
      <c r="M9" s="153">
        <f t="shared" si="2"/>
        <v>257223</v>
      </c>
      <c r="N9" s="153">
        <f t="shared" si="2"/>
        <v>193988</v>
      </c>
      <c r="O9" s="48"/>
    </row>
    <row r="10" spans="1:15" ht="15.95" thickBot="1">
      <c r="A10" s="49"/>
      <c r="B10" s="155" t="s">
        <v>199</v>
      </c>
      <c r="C10" s="154">
        <f>IFERROR(C9/C5,"-")</f>
        <v>2.3417098861145269</v>
      </c>
      <c r="D10" s="154">
        <f t="shared" ref="D10:N10" si="3">IFERROR(D9/D5,"-")</f>
        <v>4.0396331147092495</v>
      </c>
      <c r="E10" s="154">
        <f t="shared" si="3"/>
        <v>5.2756732085805567</v>
      </c>
      <c r="F10" s="154">
        <f t="shared" si="3"/>
        <v>3.5615681367949117</v>
      </c>
      <c r="G10" s="154">
        <f t="shared" si="3"/>
        <v>5.6082206264593157</v>
      </c>
      <c r="H10" s="154">
        <f t="shared" si="3"/>
        <v>0.99890726402899743</v>
      </c>
      <c r="I10" s="154">
        <f t="shared" si="3"/>
        <v>2.1269217539946426</v>
      </c>
      <c r="J10" s="154">
        <f t="shared" si="3"/>
        <v>5.975811374060445</v>
      </c>
      <c r="K10" s="154">
        <f t="shared" si="3"/>
        <v>5.2493490261431104</v>
      </c>
      <c r="L10" s="154">
        <f t="shared" si="3"/>
        <v>3.8412552406587981</v>
      </c>
      <c r="M10" s="154">
        <f t="shared" si="3"/>
        <v>1.0595031654563654</v>
      </c>
      <c r="N10" s="154">
        <f t="shared" si="3"/>
        <v>0.63392285269858695</v>
      </c>
      <c r="O10" s="50"/>
    </row>
    <row r="11" spans="1:15">
      <c r="A11" s="35"/>
      <c r="B11" s="35"/>
      <c r="C11" s="35"/>
      <c r="D11" s="35"/>
      <c r="E11" s="35"/>
      <c r="F11" s="35"/>
      <c r="G11" s="35"/>
      <c r="H11" s="35"/>
      <c r="I11" s="35"/>
      <c r="J11" s="35"/>
      <c r="K11" s="35"/>
      <c r="L11" s="35"/>
      <c r="M11" s="35"/>
      <c r="N11" s="35"/>
      <c r="O11" s="35"/>
    </row>
    <row r="12" spans="1:15">
      <c r="A12" s="213" t="s">
        <v>269</v>
      </c>
      <c r="B12" s="213"/>
      <c r="C12" s="29">
        <f t="shared" ref="C12:N12" si="4">IFERROR(IF(C4&gt;0,C4,C6),C6)</f>
        <v>618795.87901300006</v>
      </c>
      <c r="D12" s="29">
        <f t="shared" si="4"/>
        <v>746747.74987299996</v>
      </c>
      <c r="E12" s="29">
        <f t="shared" si="4"/>
        <v>496449.57910500001</v>
      </c>
      <c r="F12" s="29">
        <f t="shared" si="4"/>
        <v>350000</v>
      </c>
      <c r="G12" s="29">
        <f t="shared" si="4"/>
        <v>300000</v>
      </c>
      <c r="H12" s="29">
        <f t="shared" si="4"/>
        <v>300000</v>
      </c>
      <c r="I12" s="29">
        <f t="shared" si="4"/>
        <v>300000</v>
      </c>
      <c r="J12" s="29">
        <f t="shared" si="4"/>
        <v>400000</v>
      </c>
      <c r="K12" s="29">
        <f t="shared" si="4"/>
        <v>600000</v>
      </c>
      <c r="L12" s="29">
        <f t="shared" si="4"/>
        <v>500000</v>
      </c>
      <c r="M12" s="29">
        <f t="shared" si="4"/>
        <v>500000</v>
      </c>
      <c r="N12" s="29">
        <f t="shared" si="4"/>
        <v>500000</v>
      </c>
      <c r="O12" s="29">
        <f>SUM(C12:N12)</f>
        <v>5611993.2079910003</v>
      </c>
    </row>
  </sheetData>
  <sheetProtection sheet="1" objects="1" scenarios="1"/>
  <protectedRanges>
    <protectedRange sqref="P1:XFD1048576" name="Range1"/>
  </protectedRanges>
  <mergeCells count="3">
    <mergeCell ref="A1:O1"/>
    <mergeCell ref="A2:O2"/>
    <mergeCell ref="A12:B1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T40"/>
  <sheetViews>
    <sheetView showGridLines="0" zoomScale="90" zoomScaleNormal="90" workbookViewId="0">
      <pane xSplit="2" ySplit="3" topLeftCell="C4" activePane="bottomRight" state="frozen"/>
      <selection pane="bottomRight" activeCell="V31" sqref="V31"/>
      <selection pane="bottomLeft" activeCell="V31" sqref="V31"/>
      <selection pane="topRight" activeCell="V31" sqref="V31"/>
    </sheetView>
    <sheetView workbookViewId="1">
      <selection activeCell="F20" sqref="F20"/>
    </sheetView>
  </sheetViews>
  <sheetFormatPr defaultColWidth="8.7109375" defaultRowHeight="15"/>
  <cols>
    <col min="1" max="1" width="25.140625" customWidth="1"/>
    <col min="2" max="2" width="16" customWidth="1"/>
    <col min="3" max="14" width="11.42578125" customWidth="1"/>
    <col min="15" max="15" width="13" customWidth="1"/>
  </cols>
  <sheetData>
    <row r="1" spans="1:20" ht="33.6" customHeight="1">
      <c r="A1" s="211" t="s">
        <v>270</v>
      </c>
      <c r="B1" s="211"/>
      <c r="C1" s="211"/>
      <c r="D1" s="211"/>
      <c r="E1" s="211"/>
      <c r="F1" s="211"/>
      <c r="G1" s="211"/>
      <c r="H1" s="211"/>
      <c r="I1" s="211"/>
      <c r="J1" s="211"/>
      <c r="K1" s="211"/>
      <c r="L1" s="211"/>
      <c r="M1" s="211"/>
      <c r="N1" s="211"/>
      <c r="O1" s="211"/>
    </row>
    <row r="2" spans="1:20" s="54" customFormat="1">
      <c r="A2" s="243" t="s">
        <v>193</v>
      </c>
      <c r="B2" s="243"/>
      <c r="C2" s="243"/>
      <c r="D2" s="243"/>
      <c r="E2" s="243"/>
      <c r="F2" s="243"/>
      <c r="G2" s="243"/>
      <c r="H2" s="243"/>
      <c r="I2" s="243"/>
      <c r="J2" s="243"/>
      <c r="K2" s="243"/>
      <c r="L2" s="243"/>
      <c r="M2" s="243"/>
      <c r="N2" s="243"/>
      <c r="O2" s="243"/>
      <c r="T2" s="109"/>
    </row>
    <row r="3" spans="1:20" ht="15.95" thickBot="1">
      <c r="A3" s="38" t="s">
        <v>40</v>
      </c>
      <c r="B3" s="38" t="s">
        <v>41</v>
      </c>
      <c r="C3" s="38" t="s">
        <v>42</v>
      </c>
      <c r="D3" s="38" t="s">
        <v>43</v>
      </c>
      <c r="E3" s="38" t="s">
        <v>44</v>
      </c>
      <c r="F3" s="38" t="s">
        <v>45</v>
      </c>
      <c r="G3" s="38" t="s">
        <v>46</v>
      </c>
      <c r="H3" s="38" t="s">
        <v>47</v>
      </c>
      <c r="I3" s="38" t="s">
        <v>48</v>
      </c>
      <c r="J3" s="38" t="s">
        <v>49</v>
      </c>
      <c r="K3" s="38" t="s">
        <v>50</v>
      </c>
      <c r="L3" s="38" t="s">
        <v>51</v>
      </c>
      <c r="M3" s="38" t="s">
        <v>52</v>
      </c>
      <c r="N3" s="38" t="s">
        <v>53</v>
      </c>
      <c r="O3" s="38" t="s">
        <v>54</v>
      </c>
    </row>
    <row r="4" spans="1:20">
      <c r="A4" s="39" t="s">
        <v>120</v>
      </c>
      <c r="B4" s="40" t="s">
        <v>194</v>
      </c>
      <c r="C4" s="41">
        <f>'Forecast Input'!D103</f>
        <v>1498879.993674</v>
      </c>
      <c r="D4" s="41">
        <f>'Forecast Input'!E103</f>
        <v>1372295.0367429999</v>
      </c>
      <c r="E4" s="41">
        <f>'Forecast Input'!F103</f>
        <v>1352236.1753080001</v>
      </c>
      <c r="F4" s="41">
        <f>'Forecast Input'!G103</f>
        <v>0</v>
      </c>
      <c r="G4" s="41">
        <f>'Forecast Input'!H103</f>
        <v>0</v>
      </c>
      <c r="H4" s="41">
        <f>'Forecast Input'!I103</f>
        <v>0</v>
      </c>
      <c r="I4" s="41">
        <f>'Forecast Input'!J103</f>
        <v>0</v>
      </c>
      <c r="J4" s="41">
        <f>'Forecast Input'!K103</f>
        <v>0</v>
      </c>
      <c r="K4" s="41">
        <f>'Forecast Input'!L103</f>
        <v>0</v>
      </c>
      <c r="L4" s="41">
        <f>'Forecast Input'!M103</f>
        <v>0</v>
      </c>
      <c r="M4" s="41">
        <f>'Forecast Input'!N103</f>
        <v>0</v>
      </c>
      <c r="N4" s="41">
        <f>'Forecast Input'!O103</f>
        <v>0</v>
      </c>
      <c r="O4" s="42">
        <f>SUM(C4:N4)</f>
        <v>4223411.2057250002</v>
      </c>
    </row>
    <row r="5" spans="1:20" hidden="1">
      <c r="A5" s="43"/>
      <c r="B5" s="33" t="s">
        <v>23</v>
      </c>
      <c r="C5" s="22">
        <v>1930757.63</v>
      </c>
      <c r="D5" s="22">
        <v>1909424.93</v>
      </c>
      <c r="E5" s="22">
        <v>1868853.98</v>
      </c>
      <c r="F5" s="22">
        <v>1697395.9199999997</v>
      </c>
      <c r="G5" s="22">
        <v>1687225</v>
      </c>
      <c r="H5" s="22">
        <v>1580380</v>
      </c>
      <c r="I5" s="22">
        <v>1387227.42</v>
      </c>
      <c r="J5" s="22">
        <v>1324941.2900000007</v>
      </c>
      <c r="K5" s="22">
        <v>1417964.85</v>
      </c>
      <c r="L5" s="22">
        <v>1597457.5399999998</v>
      </c>
      <c r="M5" s="22">
        <v>1755938.5515014832</v>
      </c>
      <c r="N5" s="22">
        <v>1764508.9327159997</v>
      </c>
      <c r="O5" s="44">
        <f>SUM(C5:N5)</f>
        <v>19922076.044217482</v>
      </c>
    </row>
    <row r="6" spans="1:20">
      <c r="A6" s="45"/>
      <c r="B6" s="34" t="s">
        <v>160</v>
      </c>
      <c r="C6" s="17">
        <f>'Forecast Input'!D104</f>
        <v>1526458</v>
      </c>
      <c r="D6" s="17">
        <f>'Forecast Input'!E104</f>
        <v>1440286</v>
      </c>
      <c r="E6" s="17">
        <f>'Forecast Input'!F104</f>
        <v>1415579</v>
      </c>
      <c r="F6" s="17">
        <f>'Forecast Input'!G104</f>
        <v>1288619</v>
      </c>
      <c r="G6" s="17">
        <f>'Forecast Input'!H104</f>
        <v>1239950</v>
      </c>
      <c r="H6" s="17">
        <f>'Forecast Input'!I104</f>
        <v>1146396</v>
      </c>
      <c r="I6" s="17">
        <f>'Forecast Input'!J104</f>
        <v>1072744</v>
      </c>
      <c r="J6" s="17">
        <f>'Forecast Input'!K104</f>
        <v>1050237</v>
      </c>
      <c r="K6" s="17">
        <f>'Forecast Input'!L104</f>
        <v>1301571</v>
      </c>
      <c r="L6" s="17">
        <f>'Forecast Input'!M104</f>
        <v>1486809</v>
      </c>
      <c r="M6" s="17">
        <f>'Forecast Input'!N104</f>
        <v>1615194</v>
      </c>
      <c r="N6" s="17">
        <f>'Forecast Input'!O104</f>
        <v>1612359</v>
      </c>
      <c r="O6" s="46">
        <f>SUM(C6:N6)</f>
        <v>16196202</v>
      </c>
    </row>
    <row r="7" spans="1:20">
      <c r="A7" s="47"/>
      <c r="B7" s="86" t="s">
        <v>196</v>
      </c>
      <c r="C7" s="153">
        <f>IF(C4=0,"-",C4-C6)</f>
        <v>-27578.006325999973</v>
      </c>
      <c r="D7" s="153">
        <f t="shared" ref="D7:N7" si="0">IF(D4=0,"-",D4-D6)</f>
        <v>-67990.963257000083</v>
      </c>
      <c r="E7" s="153">
        <f t="shared" si="0"/>
        <v>-63342.824691999936</v>
      </c>
      <c r="F7" s="153" t="str">
        <f t="shared" si="0"/>
        <v>-</v>
      </c>
      <c r="G7" s="153" t="str">
        <f t="shared" si="0"/>
        <v>-</v>
      </c>
      <c r="H7" s="153" t="str">
        <f t="shared" si="0"/>
        <v>-</v>
      </c>
      <c r="I7" s="153" t="str">
        <f t="shared" si="0"/>
        <v>-</v>
      </c>
      <c r="J7" s="153" t="str">
        <f t="shared" si="0"/>
        <v>-</v>
      </c>
      <c r="K7" s="153" t="str">
        <f t="shared" si="0"/>
        <v>-</v>
      </c>
      <c r="L7" s="153" t="str">
        <f t="shared" si="0"/>
        <v>-</v>
      </c>
      <c r="M7" s="153" t="str">
        <f t="shared" si="0"/>
        <v>-</v>
      </c>
      <c r="N7" s="153" t="str">
        <f t="shared" si="0"/>
        <v>-</v>
      </c>
      <c r="O7" s="48"/>
    </row>
    <row r="8" spans="1:20" ht="15.95" thickBot="1">
      <c r="A8" s="47"/>
      <c r="B8" s="86" t="s">
        <v>197</v>
      </c>
      <c r="C8" s="154">
        <f>IFERROR(C7/C4,"-")</f>
        <v>-1.8399075604713204E-2</v>
      </c>
      <c r="D8" s="154">
        <f t="shared" ref="D8:N8" si="1">IFERROR(D7/D4,"-")</f>
        <v>-4.9545441349383289E-2</v>
      </c>
      <c r="E8" s="154">
        <f t="shared" si="1"/>
        <v>-4.6843018881352054E-2</v>
      </c>
      <c r="F8" s="154" t="str">
        <f t="shared" si="1"/>
        <v>-</v>
      </c>
      <c r="G8" s="154" t="str">
        <f t="shared" si="1"/>
        <v>-</v>
      </c>
      <c r="H8" s="154" t="str">
        <f t="shared" si="1"/>
        <v>-</v>
      </c>
      <c r="I8" s="154" t="str">
        <f t="shared" si="1"/>
        <v>-</v>
      </c>
      <c r="J8" s="154" t="str">
        <f t="shared" si="1"/>
        <v>-</v>
      </c>
      <c r="K8" s="154" t="str">
        <f t="shared" si="1"/>
        <v>-</v>
      </c>
      <c r="L8" s="154" t="str">
        <f t="shared" si="1"/>
        <v>-</v>
      </c>
      <c r="M8" s="154" t="str">
        <f t="shared" si="1"/>
        <v>-</v>
      </c>
      <c r="N8" s="154" t="str">
        <f t="shared" si="1"/>
        <v>-</v>
      </c>
      <c r="O8" s="48"/>
    </row>
    <row r="9" spans="1:20" hidden="1">
      <c r="A9" s="47"/>
      <c r="B9" s="86" t="s">
        <v>198</v>
      </c>
      <c r="C9" s="153">
        <f t="shared" ref="C9:N9" si="2">IFERROR(C6-C5,"-")</f>
        <v>-404299.62999999989</v>
      </c>
      <c r="D9" s="153">
        <f t="shared" si="2"/>
        <v>-469138.92999999993</v>
      </c>
      <c r="E9" s="153">
        <f t="shared" si="2"/>
        <v>-453274.98</v>
      </c>
      <c r="F9" s="153">
        <f t="shared" si="2"/>
        <v>-408776.91999999969</v>
      </c>
      <c r="G9" s="153">
        <f t="shared" si="2"/>
        <v>-447275</v>
      </c>
      <c r="H9" s="153">
        <f t="shared" si="2"/>
        <v>-433984</v>
      </c>
      <c r="I9" s="153">
        <f t="shared" si="2"/>
        <v>-314483.41999999993</v>
      </c>
      <c r="J9" s="153">
        <f t="shared" si="2"/>
        <v>-274704.29000000074</v>
      </c>
      <c r="K9" s="153">
        <f t="shared" si="2"/>
        <v>-116393.85000000009</v>
      </c>
      <c r="L9" s="153">
        <f t="shared" si="2"/>
        <v>-110648.5399999998</v>
      </c>
      <c r="M9" s="153">
        <f t="shared" si="2"/>
        <v>-140744.55150148319</v>
      </c>
      <c r="N9" s="153">
        <f t="shared" si="2"/>
        <v>-152149.93271599966</v>
      </c>
      <c r="O9" s="48"/>
    </row>
    <row r="10" spans="1:20" hidden="1">
      <c r="A10" s="49"/>
      <c r="B10" s="155" t="s">
        <v>199</v>
      </c>
      <c r="C10" s="154">
        <f>IFERROR(C9/C5,"-")</f>
        <v>-0.20939947288982094</v>
      </c>
      <c r="D10" s="154">
        <f t="shared" ref="D10:N10" si="3">IFERROR(D9/D5,"-")</f>
        <v>-0.24569645165364001</v>
      </c>
      <c r="E10" s="154">
        <f t="shared" si="3"/>
        <v>-0.24254167786827305</v>
      </c>
      <c r="F10" s="154">
        <f t="shared" si="3"/>
        <v>-0.24082591172953907</v>
      </c>
      <c r="G10" s="154">
        <f t="shared" si="3"/>
        <v>-0.26509505252707849</v>
      </c>
      <c r="H10" s="154">
        <f t="shared" si="3"/>
        <v>-0.27460737291031273</v>
      </c>
      <c r="I10" s="154">
        <f t="shared" si="3"/>
        <v>-0.22669925310444047</v>
      </c>
      <c r="J10" s="154">
        <f t="shared" si="3"/>
        <v>-0.20733317926864561</v>
      </c>
      <c r="K10" s="154">
        <f t="shared" si="3"/>
        <v>-8.2085144776332136E-2</v>
      </c>
      <c r="L10" s="154">
        <f t="shared" si="3"/>
        <v>-6.92654028225375E-2</v>
      </c>
      <c r="M10" s="154">
        <f t="shared" si="3"/>
        <v>-8.0153460598683321E-2</v>
      </c>
      <c r="N10" s="154">
        <f t="shared" si="3"/>
        <v>-8.6227918654854671E-2</v>
      </c>
      <c r="O10" s="50"/>
    </row>
    <row r="11" spans="1:20" hidden="1">
      <c r="A11" s="39" t="s">
        <v>121</v>
      </c>
      <c r="B11" s="40" t="s">
        <v>194</v>
      </c>
      <c r="C11" s="41">
        <f>'Forecast Input'!D105</f>
        <v>0</v>
      </c>
      <c r="D11" s="41">
        <f>'Forecast Input'!E105</f>
        <v>0</v>
      </c>
      <c r="E11" s="41">
        <f>'Forecast Input'!F105</f>
        <v>0</v>
      </c>
      <c r="F11" s="41">
        <f>'Forecast Input'!G105</f>
        <v>0</v>
      </c>
      <c r="G11" s="41">
        <f>'Forecast Input'!H105</f>
        <v>0</v>
      </c>
      <c r="H11" s="41">
        <f>'Forecast Input'!I105</f>
        <v>0</v>
      </c>
      <c r="I11" s="41">
        <f>'Forecast Input'!J105</f>
        <v>0</v>
      </c>
      <c r="J11" s="41">
        <f>'Forecast Input'!K105</f>
        <v>0</v>
      </c>
      <c r="K11" s="41">
        <f>'Forecast Input'!L105</f>
        <v>0</v>
      </c>
      <c r="L11" s="41">
        <f>'Forecast Input'!M105</f>
        <v>0</v>
      </c>
      <c r="M11" s="41">
        <f>'Forecast Input'!N105</f>
        <v>0</v>
      </c>
      <c r="N11" s="41">
        <f>'Forecast Input'!O105</f>
        <v>0</v>
      </c>
      <c r="O11" s="42">
        <f>SUM(C11:N11)</f>
        <v>0</v>
      </c>
    </row>
    <row r="12" spans="1:20" hidden="1">
      <c r="A12" s="43"/>
      <c r="B12" s="33" t="s">
        <v>23</v>
      </c>
      <c r="C12" s="22">
        <v>300</v>
      </c>
      <c r="D12" s="22">
        <v>450</v>
      </c>
      <c r="E12" s="22">
        <v>75</v>
      </c>
      <c r="F12" s="22">
        <v>1350</v>
      </c>
      <c r="G12" s="22">
        <v>0</v>
      </c>
      <c r="H12" s="22">
        <v>0</v>
      </c>
      <c r="I12" s="22">
        <v>0</v>
      </c>
      <c r="J12" s="22">
        <v>0</v>
      </c>
      <c r="K12" s="22">
        <v>0</v>
      </c>
      <c r="L12" s="22">
        <v>50</v>
      </c>
      <c r="M12" s="22">
        <v>0</v>
      </c>
      <c r="N12" s="22">
        <v>0</v>
      </c>
      <c r="O12" s="44">
        <f>SUM(C12:N12)</f>
        <v>2225</v>
      </c>
    </row>
    <row r="13" spans="1:20" hidden="1">
      <c r="A13" s="45"/>
      <c r="B13" s="34" t="s">
        <v>160</v>
      </c>
      <c r="C13" s="17">
        <f>'Forecast Input'!D106</f>
        <v>0</v>
      </c>
      <c r="D13" s="17">
        <f>'Forecast Input'!E106</f>
        <v>0</v>
      </c>
      <c r="E13" s="17">
        <f>'Forecast Input'!F106</f>
        <v>0</v>
      </c>
      <c r="F13" s="17">
        <f>'Forecast Input'!G106</f>
        <v>0</v>
      </c>
      <c r="G13" s="17">
        <f>'Forecast Input'!H106</f>
        <v>0</v>
      </c>
      <c r="H13" s="17">
        <f>'Forecast Input'!I106</f>
        <v>0</v>
      </c>
      <c r="I13" s="17">
        <f>'Forecast Input'!J106</f>
        <v>0</v>
      </c>
      <c r="J13" s="17">
        <f>'Forecast Input'!K106</f>
        <v>0</v>
      </c>
      <c r="K13" s="17">
        <f>'Forecast Input'!L106</f>
        <v>0</v>
      </c>
      <c r="L13" s="17">
        <f>'Forecast Input'!M106</f>
        <v>0</v>
      </c>
      <c r="M13" s="17">
        <f>'Forecast Input'!N106</f>
        <v>0</v>
      </c>
      <c r="N13" s="17">
        <f>'Forecast Input'!O106</f>
        <v>0</v>
      </c>
      <c r="O13" s="46">
        <f>SUM(C13:N13)</f>
        <v>0</v>
      </c>
    </row>
    <row r="14" spans="1:20" hidden="1">
      <c r="A14" s="47"/>
      <c r="B14" s="86" t="s">
        <v>196</v>
      </c>
      <c r="C14" s="153" t="str">
        <f>IF(C11=0,"-",C11-C13)</f>
        <v>-</v>
      </c>
      <c r="D14" s="153" t="str">
        <f t="shared" ref="D14:N14" si="4">IF(D11=0,"-",D11-D13)</f>
        <v>-</v>
      </c>
      <c r="E14" s="153" t="str">
        <f t="shared" si="4"/>
        <v>-</v>
      </c>
      <c r="F14" s="153" t="str">
        <f t="shared" si="4"/>
        <v>-</v>
      </c>
      <c r="G14" s="153" t="str">
        <f t="shared" si="4"/>
        <v>-</v>
      </c>
      <c r="H14" s="153" t="str">
        <f t="shared" si="4"/>
        <v>-</v>
      </c>
      <c r="I14" s="153" t="str">
        <f t="shared" si="4"/>
        <v>-</v>
      </c>
      <c r="J14" s="153" t="str">
        <f t="shared" si="4"/>
        <v>-</v>
      </c>
      <c r="K14" s="153" t="str">
        <f t="shared" si="4"/>
        <v>-</v>
      </c>
      <c r="L14" s="153" t="str">
        <f t="shared" si="4"/>
        <v>-</v>
      </c>
      <c r="M14" s="153" t="str">
        <f t="shared" si="4"/>
        <v>-</v>
      </c>
      <c r="N14" s="153" t="str">
        <f t="shared" si="4"/>
        <v>-</v>
      </c>
      <c r="O14" s="48"/>
    </row>
    <row r="15" spans="1:20" hidden="1">
      <c r="A15" s="47"/>
      <c r="B15" s="86" t="s">
        <v>197</v>
      </c>
      <c r="C15" s="154" t="str">
        <f>IFERROR(C14/C11,"-")</f>
        <v>-</v>
      </c>
      <c r="D15" s="154" t="str">
        <f t="shared" ref="D15:N15" si="5">IFERROR(D14/D11,"-")</f>
        <v>-</v>
      </c>
      <c r="E15" s="154" t="str">
        <f t="shared" si="5"/>
        <v>-</v>
      </c>
      <c r="F15" s="154" t="str">
        <f t="shared" si="5"/>
        <v>-</v>
      </c>
      <c r="G15" s="154" t="str">
        <f t="shared" si="5"/>
        <v>-</v>
      </c>
      <c r="H15" s="154" t="str">
        <f t="shared" si="5"/>
        <v>-</v>
      </c>
      <c r="I15" s="154" t="str">
        <f t="shared" si="5"/>
        <v>-</v>
      </c>
      <c r="J15" s="154" t="str">
        <f t="shared" si="5"/>
        <v>-</v>
      </c>
      <c r="K15" s="154" t="str">
        <f t="shared" si="5"/>
        <v>-</v>
      </c>
      <c r="L15" s="154" t="str">
        <f t="shared" si="5"/>
        <v>-</v>
      </c>
      <c r="M15" s="154" t="str">
        <f t="shared" si="5"/>
        <v>-</v>
      </c>
      <c r="N15" s="154" t="str">
        <f t="shared" si="5"/>
        <v>-</v>
      </c>
      <c r="O15" s="48"/>
    </row>
    <row r="16" spans="1:20" hidden="1">
      <c r="A16" s="47"/>
      <c r="B16" s="86" t="s">
        <v>198</v>
      </c>
      <c r="C16" s="153">
        <f t="shared" ref="C16:N16" si="6">IFERROR(C13-C12,"-")</f>
        <v>-300</v>
      </c>
      <c r="D16" s="153">
        <f t="shared" si="6"/>
        <v>-450</v>
      </c>
      <c r="E16" s="153">
        <f t="shared" si="6"/>
        <v>-75</v>
      </c>
      <c r="F16" s="153">
        <f t="shared" si="6"/>
        <v>-1350</v>
      </c>
      <c r="G16" s="153">
        <f t="shared" si="6"/>
        <v>0</v>
      </c>
      <c r="H16" s="153">
        <f t="shared" si="6"/>
        <v>0</v>
      </c>
      <c r="I16" s="153">
        <f t="shared" si="6"/>
        <v>0</v>
      </c>
      <c r="J16" s="153">
        <f t="shared" si="6"/>
        <v>0</v>
      </c>
      <c r="K16" s="153">
        <f t="shared" si="6"/>
        <v>0</v>
      </c>
      <c r="L16" s="153">
        <f t="shared" si="6"/>
        <v>-50</v>
      </c>
      <c r="M16" s="153">
        <f t="shared" si="6"/>
        <v>0</v>
      </c>
      <c r="N16" s="153">
        <f t="shared" si="6"/>
        <v>0</v>
      </c>
      <c r="O16" s="48"/>
    </row>
    <row r="17" spans="1:15" ht="15.95" hidden="1" thickBot="1">
      <c r="A17" s="49"/>
      <c r="B17" s="155" t="s">
        <v>199</v>
      </c>
      <c r="C17" s="154">
        <f>IFERROR(C16/C12,"-")</f>
        <v>-1</v>
      </c>
      <c r="D17" s="154">
        <f t="shared" ref="D17:N17" si="7">IFERROR(D16/D12,"-")</f>
        <v>-1</v>
      </c>
      <c r="E17" s="154">
        <f t="shared" si="7"/>
        <v>-1</v>
      </c>
      <c r="F17" s="154">
        <f t="shared" si="7"/>
        <v>-1</v>
      </c>
      <c r="G17" s="154" t="str">
        <f t="shared" si="7"/>
        <v>-</v>
      </c>
      <c r="H17" s="154" t="str">
        <f t="shared" si="7"/>
        <v>-</v>
      </c>
      <c r="I17" s="154" t="str">
        <f t="shared" si="7"/>
        <v>-</v>
      </c>
      <c r="J17" s="154" t="str">
        <f t="shared" si="7"/>
        <v>-</v>
      </c>
      <c r="K17" s="154" t="str">
        <f t="shared" si="7"/>
        <v>-</v>
      </c>
      <c r="L17" s="154">
        <f t="shared" si="7"/>
        <v>-1</v>
      </c>
      <c r="M17" s="154" t="str">
        <f t="shared" si="7"/>
        <v>-</v>
      </c>
      <c r="N17" s="154" t="str">
        <f t="shared" si="7"/>
        <v>-</v>
      </c>
      <c r="O17" s="50"/>
    </row>
    <row r="18" spans="1:15">
      <c r="A18" s="39" t="s">
        <v>122</v>
      </c>
      <c r="B18" s="40" t="s">
        <v>194</v>
      </c>
      <c r="C18" s="41">
        <f>'Forecast Input'!D107</f>
        <v>92646.238203000001</v>
      </c>
      <c r="D18" s="41">
        <f>'Forecast Input'!E107</f>
        <v>62782.832570999999</v>
      </c>
      <c r="E18" s="41">
        <f>'Forecast Input'!F107</f>
        <v>92995.439163999996</v>
      </c>
      <c r="F18" s="41">
        <f>'Forecast Input'!G107</f>
        <v>0</v>
      </c>
      <c r="G18" s="41">
        <f>'Forecast Input'!H107</f>
        <v>0</v>
      </c>
      <c r="H18" s="41">
        <f>'Forecast Input'!I107</f>
        <v>0</v>
      </c>
      <c r="I18" s="41">
        <f>'Forecast Input'!J107</f>
        <v>0</v>
      </c>
      <c r="J18" s="41">
        <f>'Forecast Input'!K107</f>
        <v>0</v>
      </c>
      <c r="K18" s="41">
        <f>'Forecast Input'!L107</f>
        <v>0</v>
      </c>
      <c r="L18" s="41">
        <f>'Forecast Input'!M107</f>
        <v>0</v>
      </c>
      <c r="M18" s="41">
        <f>'Forecast Input'!N107</f>
        <v>0</v>
      </c>
      <c r="N18" s="41">
        <f>'Forecast Input'!O107</f>
        <v>0</v>
      </c>
      <c r="O18" s="42">
        <f>SUM(C18:N18)</f>
        <v>248424.509938</v>
      </c>
    </row>
    <row r="19" spans="1:15" hidden="1">
      <c r="A19" s="43"/>
      <c r="B19" s="33" t="s">
        <v>23</v>
      </c>
      <c r="C19" s="22">
        <v>157962.18513882745</v>
      </c>
      <c r="D19" s="22">
        <v>151489.30361107906</v>
      </c>
      <c r="E19" s="22">
        <v>183351.61261076044</v>
      </c>
      <c r="F19" s="22">
        <v>232501.71538962011</v>
      </c>
      <c r="G19" s="22">
        <v>189289.31606908402</v>
      </c>
      <c r="H19" s="22">
        <v>152710.8134516</v>
      </c>
      <c r="I19" s="22">
        <v>128186.81947191239</v>
      </c>
      <c r="J19" s="22">
        <v>166921.8214940672</v>
      </c>
      <c r="K19" s="22">
        <v>243360.80677378605</v>
      </c>
      <c r="L19" s="22">
        <v>182653.60073423674</v>
      </c>
      <c r="M19" s="22">
        <v>141666.10757697679</v>
      </c>
      <c r="N19" s="22">
        <v>151884.44596300001</v>
      </c>
      <c r="O19" s="44">
        <f>SUM(C19:N19)</f>
        <v>2081978.54828495</v>
      </c>
    </row>
    <row r="20" spans="1:15">
      <c r="A20" s="45"/>
      <c r="B20" s="34" t="s">
        <v>160</v>
      </c>
      <c r="C20" s="17">
        <f>'Forecast Input'!D108</f>
        <v>150000</v>
      </c>
      <c r="D20" s="17">
        <f>'Forecast Input'!E108</f>
        <v>150000</v>
      </c>
      <c r="E20" s="17">
        <f>'Forecast Input'!F108</f>
        <v>90000</v>
      </c>
      <c r="F20" s="17">
        <f>'Forecast Input'!G108</f>
        <v>70000</v>
      </c>
      <c r="G20" s="17">
        <f>'Forecast Input'!H108</f>
        <v>70000</v>
      </c>
      <c r="H20" s="17">
        <f>'Forecast Input'!I108</f>
        <v>70000</v>
      </c>
      <c r="I20" s="17">
        <f>'Forecast Input'!J108</f>
        <v>70000</v>
      </c>
      <c r="J20" s="17">
        <f>'Forecast Input'!K108</f>
        <v>70000</v>
      </c>
      <c r="K20" s="17">
        <f>'Forecast Input'!L108</f>
        <v>70000</v>
      </c>
      <c r="L20" s="17">
        <f>'Forecast Input'!M108</f>
        <v>70000</v>
      </c>
      <c r="M20" s="17">
        <f>'Forecast Input'!N108</f>
        <v>70000</v>
      </c>
      <c r="N20" s="17">
        <f>'Forecast Input'!O108</f>
        <v>70000</v>
      </c>
      <c r="O20" s="46">
        <f>SUM(C20:N20)</f>
        <v>1020000</v>
      </c>
    </row>
    <row r="21" spans="1:15">
      <c r="A21" s="47"/>
      <c r="B21" s="86" t="s">
        <v>196</v>
      </c>
      <c r="C21" s="153">
        <f>IF(C18=0,"-",C18-C20)</f>
        <v>-57353.761796999999</v>
      </c>
      <c r="D21" s="153">
        <f t="shared" ref="D21:N21" si="8">IF(D18=0,"-",D18-D20)</f>
        <v>-87217.167428999994</v>
      </c>
      <c r="E21" s="153">
        <f t="shared" si="8"/>
        <v>2995.4391639999958</v>
      </c>
      <c r="F21" s="153" t="str">
        <f t="shared" si="8"/>
        <v>-</v>
      </c>
      <c r="G21" s="153" t="str">
        <f t="shared" si="8"/>
        <v>-</v>
      </c>
      <c r="H21" s="153" t="str">
        <f t="shared" si="8"/>
        <v>-</v>
      </c>
      <c r="I21" s="153" t="str">
        <f t="shared" si="8"/>
        <v>-</v>
      </c>
      <c r="J21" s="153" t="str">
        <f t="shared" si="8"/>
        <v>-</v>
      </c>
      <c r="K21" s="153" t="str">
        <f t="shared" si="8"/>
        <v>-</v>
      </c>
      <c r="L21" s="153" t="str">
        <f t="shared" si="8"/>
        <v>-</v>
      </c>
      <c r="M21" s="153" t="str">
        <f t="shared" si="8"/>
        <v>-</v>
      </c>
      <c r="N21" s="153" t="str">
        <f t="shared" si="8"/>
        <v>-</v>
      </c>
      <c r="O21" s="48"/>
    </row>
    <row r="22" spans="1:15" ht="15.95" thickBot="1">
      <c r="A22" s="47"/>
      <c r="B22" s="86" t="s">
        <v>197</v>
      </c>
      <c r="C22" s="154">
        <f>IFERROR(C21/C18,"-")</f>
        <v>-0.61906195987505097</v>
      </c>
      <c r="D22" s="154">
        <f t="shared" ref="D22:N22" si="9">IFERROR(D21/D18,"-")</f>
        <v>-1.3891881563382416</v>
      </c>
      <c r="E22" s="154">
        <f t="shared" si="9"/>
        <v>3.2210602916960873E-2</v>
      </c>
      <c r="F22" s="154" t="str">
        <f t="shared" si="9"/>
        <v>-</v>
      </c>
      <c r="G22" s="154" t="str">
        <f t="shared" si="9"/>
        <v>-</v>
      </c>
      <c r="H22" s="154" t="str">
        <f t="shared" si="9"/>
        <v>-</v>
      </c>
      <c r="I22" s="154" t="str">
        <f t="shared" si="9"/>
        <v>-</v>
      </c>
      <c r="J22" s="154" t="str">
        <f t="shared" si="9"/>
        <v>-</v>
      </c>
      <c r="K22" s="154" t="str">
        <f t="shared" si="9"/>
        <v>-</v>
      </c>
      <c r="L22" s="154" t="str">
        <f t="shared" si="9"/>
        <v>-</v>
      </c>
      <c r="M22" s="154" t="str">
        <f t="shared" si="9"/>
        <v>-</v>
      </c>
      <c r="N22" s="154" t="str">
        <f t="shared" si="9"/>
        <v>-</v>
      </c>
      <c r="O22" s="48"/>
    </row>
    <row r="23" spans="1:15" hidden="1">
      <c r="A23" s="47"/>
      <c r="B23" s="86" t="s">
        <v>198</v>
      </c>
      <c r="C23" s="153">
        <f t="shared" ref="C23:N23" si="10">IFERROR(C20-C19,"-")</f>
        <v>-7962.1851388274517</v>
      </c>
      <c r="D23" s="153">
        <f t="shared" si="10"/>
        <v>-1489.3036110790563</v>
      </c>
      <c r="E23" s="153">
        <f t="shared" si="10"/>
        <v>-93351.612610760436</v>
      </c>
      <c r="F23" s="153">
        <f t="shared" si="10"/>
        <v>-162501.71538962011</v>
      </c>
      <c r="G23" s="153">
        <f t="shared" si="10"/>
        <v>-119289.31606908402</v>
      </c>
      <c r="H23" s="153">
        <f t="shared" si="10"/>
        <v>-82710.813451599999</v>
      </c>
      <c r="I23" s="153">
        <f t="shared" si="10"/>
        <v>-58186.819471912386</v>
      </c>
      <c r="J23" s="153">
        <f t="shared" si="10"/>
        <v>-96921.821494067204</v>
      </c>
      <c r="K23" s="153">
        <f t="shared" si="10"/>
        <v>-173360.80677378605</v>
      </c>
      <c r="L23" s="153">
        <f t="shared" si="10"/>
        <v>-112653.60073423674</v>
      </c>
      <c r="M23" s="153">
        <f t="shared" si="10"/>
        <v>-71666.107576976792</v>
      </c>
      <c r="N23" s="153">
        <f t="shared" si="10"/>
        <v>-81884.445963000006</v>
      </c>
      <c r="O23" s="48"/>
    </row>
    <row r="24" spans="1:15" ht="15.95" hidden="1" thickBot="1">
      <c r="A24" s="49"/>
      <c r="B24" s="155" t="s">
        <v>199</v>
      </c>
      <c r="C24" s="154">
        <f>IFERROR(C23/C19,"-")</f>
        <v>-5.0405640640066897E-2</v>
      </c>
      <c r="D24" s="154">
        <f t="shared" ref="D24:N24" si="11">IFERROR(D23/D19,"-")</f>
        <v>-9.8310809778528619E-3</v>
      </c>
      <c r="E24" s="154">
        <f t="shared" si="11"/>
        <v>-0.5091398503755612</v>
      </c>
      <c r="F24" s="154">
        <f t="shared" si="11"/>
        <v>-0.6989269525057229</v>
      </c>
      <c r="G24" s="154">
        <f t="shared" si="11"/>
        <v>-0.63019571598825774</v>
      </c>
      <c r="H24" s="154">
        <f t="shared" si="11"/>
        <v>-0.54161726718726622</v>
      </c>
      <c r="I24" s="154">
        <f t="shared" si="11"/>
        <v>-0.45392201563017931</v>
      </c>
      <c r="J24" s="154">
        <f t="shared" si="11"/>
        <v>-0.58064200729748228</v>
      </c>
      <c r="K24" s="154">
        <f t="shared" si="11"/>
        <v>-0.71236124284767066</v>
      </c>
      <c r="L24" s="154">
        <f t="shared" si="11"/>
        <v>-0.61676090852514387</v>
      </c>
      <c r="M24" s="154">
        <f t="shared" si="11"/>
        <v>-0.50588040289054836</v>
      </c>
      <c r="N24" s="154">
        <f t="shared" si="11"/>
        <v>-0.53912331472669406</v>
      </c>
      <c r="O24" s="50"/>
    </row>
    <row r="25" spans="1:15">
      <c r="A25" s="39" t="s">
        <v>123</v>
      </c>
      <c r="B25" s="40" t="s">
        <v>194</v>
      </c>
      <c r="C25" s="41">
        <f>'Forecast Input'!D109</f>
        <v>236708.1</v>
      </c>
      <c r="D25" s="41">
        <f>'Forecast Input'!E109</f>
        <v>175526.1</v>
      </c>
      <c r="E25" s="41">
        <f>'Forecast Input'!F109</f>
        <v>249908.77</v>
      </c>
      <c r="F25" s="41">
        <f>'Forecast Input'!G109</f>
        <v>0</v>
      </c>
      <c r="G25" s="41">
        <f>'Forecast Input'!H109</f>
        <v>0</v>
      </c>
      <c r="H25" s="41">
        <f>'Forecast Input'!I109</f>
        <v>0</v>
      </c>
      <c r="I25" s="41">
        <f>'Forecast Input'!J109</f>
        <v>0</v>
      </c>
      <c r="J25" s="41">
        <f>'Forecast Input'!K109</f>
        <v>0</v>
      </c>
      <c r="K25" s="41">
        <f>'Forecast Input'!L109</f>
        <v>0</v>
      </c>
      <c r="L25" s="41">
        <f>'Forecast Input'!M109</f>
        <v>0</v>
      </c>
      <c r="M25" s="41">
        <f>'Forecast Input'!N109</f>
        <v>0</v>
      </c>
      <c r="N25" s="41">
        <f>'Forecast Input'!O109</f>
        <v>0</v>
      </c>
      <c r="O25" s="42">
        <f>SUM(C25:N25)</f>
        <v>662142.97</v>
      </c>
    </row>
    <row r="26" spans="1:15" hidden="1">
      <c r="A26" s="43"/>
      <c r="B26" s="33" t="s">
        <v>23</v>
      </c>
      <c r="C26" s="22">
        <v>176984.66999999955</v>
      </c>
      <c r="D26" s="22">
        <v>0</v>
      </c>
      <c r="E26" s="22">
        <v>1877.2199999999998</v>
      </c>
      <c r="F26" s="22">
        <v>0</v>
      </c>
      <c r="G26" s="22">
        <v>12500</v>
      </c>
      <c r="H26" s="22">
        <v>0</v>
      </c>
      <c r="I26" s="22">
        <v>9600</v>
      </c>
      <c r="J26" s="22">
        <v>0</v>
      </c>
      <c r="K26" s="22">
        <v>0</v>
      </c>
      <c r="L26" s="22">
        <v>0</v>
      </c>
      <c r="M26" s="22">
        <v>0</v>
      </c>
      <c r="N26" s="22">
        <v>0</v>
      </c>
      <c r="O26" s="44">
        <f>SUM(C26:N26)</f>
        <v>200961.88999999955</v>
      </c>
    </row>
    <row r="27" spans="1:15">
      <c r="A27" s="45"/>
      <c r="B27" s="34" t="s">
        <v>160</v>
      </c>
      <c r="C27" s="17">
        <f>'Forecast Input'!D110</f>
        <v>236708</v>
      </c>
      <c r="D27" s="17">
        <f>'Forecast Input'!E110</f>
        <v>175526</v>
      </c>
      <c r="E27" s="17">
        <f>'Forecast Input'!F110</f>
        <v>197086</v>
      </c>
      <c r="F27" s="17">
        <f>'Forecast Input'!G110</f>
        <v>202500</v>
      </c>
      <c r="G27" s="17">
        <f>'Forecast Input'!H110</f>
        <v>202500</v>
      </c>
      <c r="H27" s="17">
        <f>'Forecast Input'!I110</f>
        <v>202500</v>
      </c>
      <c r="I27" s="17">
        <f>'Forecast Input'!J110</f>
        <v>202500</v>
      </c>
      <c r="J27" s="17">
        <f>'Forecast Input'!K110</f>
        <v>202500</v>
      </c>
      <c r="K27" s="17">
        <f>'Forecast Input'!L110</f>
        <v>447500</v>
      </c>
      <c r="L27" s="17">
        <f>'Forecast Input'!M110</f>
        <v>522500</v>
      </c>
      <c r="M27" s="17">
        <f>'Forecast Input'!N110</f>
        <v>557500</v>
      </c>
      <c r="N27" s="17">
        <f>'Forecast Input'!O110</f>
        <v>562500</v>
      </c>
      <c r="O27" s="46">
        <f>SUM(C27:N27)</f>
        <v>3711820</v>
      </c>
    </row>
    <row r="28" spans="1:15">
      <c r="A28" s="47"/>
      <c r="B28" s="86" t="s">
        <v>196</v>
      </c>
      <c r="C28" s="153">
        <f>IF(C25=0,"-",C25-C27)</f>
        <v>0.10000000000582077</v>
      </c>
      <c r="D28" s="153">
        <f t="shared" ref="D28:N28" si="12">IF(D25=0,"-",D25-D27)</f>
        <v>0.10000000000582077</v>
      </c>
      <c r="E28" s="153">
        <f t="shared" si="12"/>
        <v>52822.76999999999</v>
      </c>
      <c r="F28" s="153" t="str">
        <f t="shared" si="12"/>
        <v>-</v>
      </c>
      <c r="G28" s="153" t="str">
        <f t="shared" si="12"/>
        <v>-</v>
      </c>
      <c r="H28" s="153" t="str">
        <f t="shared" si="12"/>
        <v>-</v>
      </c>
      <c r="I28" s="153" t="str">
        <f t="shared" si="12"/>
        <v>-</v>
      </c>
      <c r="J28" s="153" t="str">
        <f t="shared" si="12"/>
        <v>-</v>
      </c>
      <c r="K28" s="153" t="str">
        <f t="shared" si="12"/>
        <v>-</v>
      </c>
      <c r="L28" s="153" t="str">
        <f t="shared" si="12"/>
        <v>-</v>
      </c>
      <c r="M28" s="153" t="str">
        <f t="shared" si="12"/>
        <v>-</v>
      </c>
      <c r="N28" s="153" t="str">
        <f t="shared" si="12"/>
        <v>-</v>
      </c>
      <c r="O28" s="48"/>
    </row>
    <row r="29" spans="1:15" ht="15.95" thickBot="1">
      <c r="A29" s="47"/>
      <c r="B29" s="86" t="s">
        <v>197</v>
      </c>
      <c r="C29" s="154">
        <f>IFERROR(C28/C25,"-")</f>
        <v>4.2246125082251417E-7</v>
      </c>
      <c r="D29" s="154">
        <f t="shared" ref="D29:N29" si="13">IFERROR(D28/D25,"-")</f>
        <v>5.6971584286223391E-7</v>
      </c>
      <c r="E29" s="154">
        <f t="shared" si="13"/>
        <v>0.21136821248810111</v>
      </c>
      <c r="F29" s="154" t="str">
        <f t="shared" si="13"/>
        <v>-</v>
      </c>
      <c r="G29" s="154" t="str">
        <f t="shared" si="13"/>
        <v>-</v>
      </c>
      <c r="H29" s="154" t="str">
        <f t="shared" si="13"/>
        <v>-</v>
      </c>
      <c r="I29" s="154" t="str">
        <f t="shared" si="13"/>
        <v>-</v>
      </c>
      <c r="J29" s="154" t="str">
        <f t="shared" si="13"/>
        <v>-</v>
      </c>
      <c r="K29" s="154" t="str">
        <f t="shared" si="13"/>
        <v>-</v>
      </c>
      <c r="L29" s="154" t="str">
        <f t="shared" si="13"/>
        <v>-</v>
      </c>
      <c r="M29" s="154" t="str">
        <f t="shared" si="13"/>
        <v>-</v>
      </c>
      <c r="N29" s="154" t="str">
        <f t="shared" si="13"/>
        <v>-</v>
      </c>
      <c r="O29" s="48"/>
    </row>
    <row r="30" spans="1:15" hidden="1">
      <c r="A30" s="47"/>
      <c r="B30" s="86" t="s">
        <v>198</v>
      </c>
      <c r="C30" s="153">
        <f t="shared" ref="C30:N30" si="14">IFERROR(C27-C26,"-")</f>
        <v>59723.330000000453</v>
      </c>
      <c r="D30" s="153">
        <f t="shared" si="14"/>
        <v>175526</v>
      </c>
      <c r="E30" s="153">
        <f t="shared" si="14"/>
        <v>195208.78</v>
      </c>
      <c r="F30" s="153">
        <f t="shared" si="14"/>
        <v>202500</v>
      </c>
      <c r="G30" s="153">
        <f t="shared" si="14"/>
        <v>190000</v>
      </c>
      <c r="H30" s="153">
        <f t="shared" si="14"/>
        <v>202500</v>
      </c>
      <c r="I30" s="153">
        <f t="shared" si="14"/>
        <v>192900</v>
      </c>
      <c r="J30" s="153">
        <f t="shared" si="14"/>
        <v>202500</v>
      </c>
      <c r="K30" s="153">
        <f t="shared" si="14"/>
        <v>447500</v>
      </c>
      <c r="L30" s="153">
        <f t="shared" si="14"/>
        <v>522500</v>
      </c>
      <c r="M30" s="153">
        <f t="shared" si="14"/>
        <v>557500</v>
      </c>
      <c r="N30" s="153">
        <f t="shared" si="14"/>
        <v>562500</v>
      </c>
      <c r="O30" s="48"/>
    </row>
    <row r="31" spans="1:15" ht="15.95" hidden="1" thickBot="1">
      <c r="A31" s="49"/>
      <c r="B31" s="155" t="s">
        <v>199</v>
      </c>
      <c r="C31" s="154">
        <f>IFERROR(C30/C26,"-")</f>
        <v>0.33744917003263958</v>
      </c>
      <c r="D31" s="154" t="str">
        <f t="shared" ref="D31:N31" si="15">IFERROR(D30/D26,"-")</f>
        <v>-</v>
      </c>
      <c r="E31" s="154">
        <f t="shared" si="15"/>
        <v>103.98822727224301</v>
      </c>
      <c r="F31" s="154" t="str">
        <f t="shared" si="15"/>
        <v>-</v>
      </c>
      <c r="G31" s="154">
        <f t="shared" si="15"/>
        <v>15.2</v>
      </c>
      <c r="H31" s="154" t="str">
        <f t="shared" si="15"/>
        <v>-</v>
      </c>
      <c r="I31" s="154">
        <f t="shared" si="15"/>
        <v>20.09375</v>
      </c>
      <c r="J31" s="154" t="str">
        <f t="shared" si="15"/>
        <v>-</v>
      </c>
      <c r="K31" s="154" t="str">
        <f t="shared" si="15"/>
        <v>-</v>
      </c>
      <c r="L31" s="154" t="str">
        <f t="shared" si="15"/>
        <v>-</v>
      </c>
      <c r="M31" s="154" t="str">
        <f t="shared" si="15"/>
        <v>-</v>
      </c>
      <c r="N31" s="154" t="str">
        <f t="shared" si="15"/>
        <v>-</v>
      </c>
      <c r="O31" s="50"/>
    </row>
    <row r="32" spans="1:15">
      <c r="A32" s="39" t="s">
        <v>271</v>
      </c>
      <c r="B32" s="40" t="s">
        <v>194</v>
      </c>
      <c r="C32" s="41">
        <f>'Forecast Input'!D111</f>
        <v>1395039.7868599999</v>
      </c>
      <c r="D32" s="41">
        <f>'Forecast Input'!E111</f>
        <v>1172189.0594929999</v>
      </c>
      <c r="E32" s="41">
        <f>'Forecast Input'!F111</f>
        <v>1502403.724771</v>
      </c>
      <c r="F32" s="41">
        <f>'Forecast Input'!G111</f>
        <v>0</v>
      </c>
      <c r="G32" s="41">
        <f>'Forecast Input'!H111</f>
        <v>0</v>
      </c>
      <c r="H32" s="41">
        <f>'Forecast Input'!I111</f>
        <v>0</v>
      </c>
      <c r="I32" s="41">
        <f>'Forecast Input'!J111</f>
        <v>0</v>
      </c>
      <c r="J32" s="41">
        <f>'Forecast Input'!K111</f>
        <v>0</v>
      </c>
      <c r="K32" s="41">
        <f>'Forecast Input'!L111</f>
        <v>0</v>
      </c>
      <c r="L32" s="41">
        <f>'Forecast Input'!M111</f>
        <v>0</v>
      </c>
      <c r="M32" s="41">
        <f>'Forecast Input'!N111</f>
        <v>0</v>
      </c>
      <c r="N32" s="41">
        <f>'Forecast Input'!O111</f>
        <v>0</v>
      </c>
      <c r="O32" s="42">
        <f>SUM(C32:N32)</f>
        <v>4069632.571124</v>
      </c>
    </row>
    <row r="33" spans="1:15" hidden="1">
      <c r="A33" s="43"/>
      <c r="B33" s="33" t="s">
        <v>23</v>
      </c>
      <c r="C33" s="22">
        <v>681756.66426883999</v>
      </c>
      <c r="D33" s="22">
        <v>813531.51160333387</v>
      </c>
      <c r="E33" s="22">
        <v>1048711.2135966544</v>
      </c>
      <c r="F33" s="22">
        <v>1039637.3072176104</v>
      </c>
      <c r="G33" s="22">
        <v>1080978.3703153234</v>
      </c>
      <c r="H33" s="22">
        <v>1106566.6846181147</v>
      </c>
      <c r="I33" s="22">
        <v>1180902.8586304344</v>
      </c>
      <c r="J33" s="22">
        <v>1248188.3246221072</v>
      </c>
      <c r="K33" s="22">
        <v>1294109.7437695323</v>
      </c>
      <c r="L33" s="22">
        <v>1473017.3764069006</v>
      </c>
      <c r="M33" s="22">
        <v>1542719.136554607</v>
      </c>
      <c r="N33" s="22">
        <v>1810823</v>
      </c>
      <c r="O33" s="44">
        <f>SUM(C33:N33)</f>
        <v>14320942.191603458</v>
      </c>
    </row>
    <row r="34" spans="1:15">
      <c r="A34" s="45"/>
      <c r="B34" s="34" t="s">
        <v>160</v>
      </c>
      <c r="C34" s="17">
        <f>'Forecast Input'!D112</f>
        <v>1287156</v>
      </c>
      <c r="D34" s="17">
        <f>'Forecast Input'!E112</f>
        <v>1423321</v>
      </c>
      <c r="E34" s="17">
        <f>'Forecast Input'!F112</f>
        <v>1499107</v>
      </c>
      <c r="F34" s="17">
        <f>'Forecast Input'!G112</f>
        <v>1555531</v>
      </c>
      <c r="G34" s="17">
        <f>'Forecast Input'!H112</f>
        <v>1588108</v>
      </c>
      <c r="H34" s="17">
        <f>'Forecast Input'!I112</f>
        <v>1588108</v>
      </c>
      <c r="I34" s="17">
        <f>'Forecast Input'!J112</f>
        <v>1591365</v>
      </c>
      <c r="J34" s="17">
        <f>'Forecast Input'!K112</f>
        <v>1591365</v>
      </c>
      <c r="K34" s="17">
        <f>'Forecast Input'!L112</f>
        <v>1591365</v>
      </c>
      <c r="L34" s="17">
        <f>'Forecast Input'!M112</f>
        <v>1601189</v>
      </c>
      <c r="M34" s="17">
        <f>'Forecast Input'!N112</f>
        <v>1601189</v>
      </c>
      <c r="N34" s="17">
        <f>'Forecast Input'!O112</f>
        <v>1734779</v>
      </c>
      <c r="O34" s="46">
        <f>SUM(C34:N34)</f>
        <v>18652583</v>
      </c>
    </row>
    <row r="35" spans="1:15">
      <c r="A35" s="47"/>
      <c r="B35" s="86" t="s">
        <v>196</v>
      </c>
      <c r="C35" s="153">
        <f>IF(C32=0,"-",C32-C34)</f>
        <v>107883.78685999988</v>
      </c>
      <c r="D35" s="153">
        <f t="shared" ref="D35:N35" si="16">IF(D32=0,"-",D32-D34)</f>
        <v>-251131.94050700008</v>
      </c>
      <c r="E35" s="153">
        <f t="shared" si="16"/>
        <v>3296.7247709999792</v>
      </c>
      <c r="F35" s="153" t="str">
        <f t="shared" si="16"/>
        <v>-</v>
      </c>
      <c r="G35" s="153" t="str">
        <f t="shared" si="16"/>
        <v>-</v>
      </c>
      <c r="H35" s="153" t="str">
        <f t="shared" si="16"/>
        <v>-</v>
      </c>
      <c r="I35" s="153" t="str">
        <f t="shared" si="16"/>
        <v>-</v>
      </c>
      <c r="J35" s="153" t="str">
        <f t="shared" si="16"/>
        <v>-</v>
      </c>
      <c r="K35" s="153" t="str">
        <f t="shared" si="16"/>
        <v>-</v>
      </c>
      <c r="L35" s="153" t="str">
        <f t="shared" si="16"/>
        <v>-</v>
      </c>
      <c r="M35" s="153" t="str">
        <f t="shared" si="16"/>
        <v>-</v>
      </c>
      <c r="N35" s="153" t="str">
        <f t="shared" si="16"/>
        <v>-</v>
      </c>
      <c r="O35" s="48"/>
    </row>
    <row r="36" spans="1:15">
      <c r="A36" s="47"/>
      <c r="B36" s="86" t="s">
        <v>197</v>
      </c>
      <c r="C36" s="154">
        <f>IFERROR(C35/C32,"-")</f>
        <v>7.7333842286196122E-2</v>
      </c>
      <c r="D36" s="154">
        <f t="shared" ref="D36:N36" si="17">IFERROR(D35/D32,"-")</f>
        <v>-0.21424183963602314</v>
      </c>
      <c r="E36" s="154">
        <f t="shared" si="17"/>
        <v>2.1943001848604136E-3</v>
      </c>
      <c r="F36" s="154" t="str">
        <f t="shared" si="17"/>
        <v>-</v>
      </c>
      <c r="G36" s="154" t="str">
        <f t="shared" si="17"/>
        <v>-</v>
      </c>
      <c r="H36" s="154" t="str">
        <f t="shared" si="17"/>
        <v>-</v>
      </c>
      <c r="I36" s="154" t="str">
        <f t="shared" si="17"/>
        <v>-</v>
      </c>
      <c r="J36" s="154" t="str">
        <f t="shared" si="17"/>
        <v>-</v>
      </c>
      <c r="K36" s="154" t="str">
        <f t="shared" si="17"/>
        <v>-</v>
      </c>
      <c r="L36" s="154" t="str">
        <f t="shared" si="17"/>
        <v>-</v>
      </c>
      <c r="M36" s="154" t="str">
        <f t="shared" si="17"/>
        <v>-</v>
      </c>
      <c r="N36" s="154" t="str">
        <f t="shared" si="17"/>
        <v>-</v>
      </c>
      <c r="O36" s="48"/>
    </row>
    <row r="37" spans="1:15" hidden="1">
      <c r="A37" s="47"/>
      <c r="B37" s="86" t="s">
        <v>198</v>
      </c>
      <c r="C37" s="153">
        <f t="shared" ref="C37:N37" si="18">IFERROR(C34-C33,"-")</f>
        <v>605399.33573116001</v>
      </c>
      <c r="D37" s="153">
        <f t="shared" si="18"/>
        <v>609789.48839666613</v>
      </c>
      <c r="E37" s="153">
        <f t="shared" si="18"/>
        <v>450395.78640334564</v>
      </c>
      <c r="F37" s="153">
        <f t="shared" si="18"/>
        <v>515893.69278238958</v>
      </c>
      <c r="G37" s="153">
        <f t="shared" si="18"/>
        <v>507129.62968467665</v>
      </c>
      <c r="H37" s="153">
        <f t="shared" si="18"/>
        <v>481541.31538188527</v>
      </c>
      <c r="I37" s="153">
        <f t="shared" si="18"/>
        <v>410462.14136956562</v>
      </c>
      <c r="J37" s="153">
        <f t="shared" si="18"/>
        <v>343176.6753778928</v>
      </c>
      <c r="K37" s="153">
        <f t="shared" si="18"/>
        <v>297255.2562304677</v>
      </c>
      <c r="L37" s="153">
        <f t="shared" si="18"/>
        <v>128171.62359309942</v>
      </c>
      <c r="M37" s="153">
        <f t="shared" si="18"/>
        <v>58469.863445393043</v>
      </c>
      <c r="N37" s="153">
        <f t="shared" si="18"/>
        <v>-76044</v>
      </c>
      <c r="O37" s="48"/>
    </row>
    <row r="38" spans="1:15" ht="15.95" hidden="1" thickBot="1">
      <c r="A38" s="49"/>
      <c r="B38" s="155" t="s">
        <v>199</v>
      </c>
      <c r="C38" s="154">
        <f>IFERROR(C37/C33,"-")</f>
        <v>0.88799914611825537</v>
      </c>
      <c r="D38" s="154">
        <f t="shared" ref="D38:N38" si="19">IFERROR(D37/D33,"-")</f>
        <v>0.74955853547070783</v>
      </c>
      <c r="E38" s="154">
        <f t="shared" si="19"/>
        <v>0.42947551295715686</v>
      </c>
      <c r="F38" s="154">
        <f t="shared" si="19"/>
        <v>0.49622468258962349</v>
      </c>
      <c r="G38" s="154">
        <f t="shared" si="19"/>
        <v>0.46913947920784577</v>
      </c>
      <c r="H38" s="154">
        <f t="shared" si="19"/>
        <v>0.43516700988342982</v>
      </c>
      <c r="I38" s="154">
        <f t="shared" si="19"/>
        <v>0.34758332437742068</v>
      </c>
      <c r="J38" s="154">
        <f t="shared" si="19"/>
        <v>0.27493982166656666</v>
      </c>
      <c r="K38" s="154">
        <f t="shared" si="19"/>
        <v>0.22969864624047356</v>
      </c>
      <c r="L38" s="154">
        <f t="shared" si="19"/>
        <v>8.701297462338542E-2</v>
      </c>
      <c r="M38" s="154">
        <f t="shared" si="19"/>
        <v>3.7900523860730242E-2</v>
      </c>
      <c r="N38" s="154">
        <f t="shared" si="19"/>
        <v>-4.1994165084052945E-2</v>
      </c>
      <c r="O38" s="50"/>
    </row>
    <row r="39" spans="1:15">
      <c r="A39" s="35"/>
      <c r="B39" s="35"/>
      <c r="C39" s="35"/>
      <c r="D39" s="35"/>
      <c r="E39" s="35"/>
      <c r="F39" s="35"/>
      <c r="G39" s="35"/>
      <c r="H39" s="35"/>
      <c r="I39" s="35"/>
      <c r="J39" s="35"/>
      <c r="K39" s="35"/>
      <c r="L39" s="35"/>
      <c r="M39" s="35"/>
      <c r="N39" s="35"/>
      <c r="O39" s="35"/>
    </row>
    <row r="40" spans="1:15">
      <c r="A40" s="213" t="s">
        <v>272</v>
      </c>
      <c r="B40" s="213"/>
      <c r="C40" s="29">
        <f t="shared" ref="C40:N40" si="20">IFERROR(IF(C4+C11+C18+C25+C32&gt;0,C4+C11+C18+C25+C32,C6+C13+C20+C27+C34),C6+C13+C20+C27+C34)</f>
        <v>3223274.118737</v>
      </c>
      <c r="D40" s="29">
        <f t="shared" si="20"/>
        <v>2782793.0288070003</v>
      </c>
      <c r="E40" s="29">
        <f t="shared" si="20"/>
        <v>3197544.1092429999</v>
      </c>
      <c r="F40" s="29">
        <f t="shared" si="20"/>
        <v>3116650</v>
      </c>
      <c r="G40" s="29">
        <f t="shared" si="20"/>
        <v>3100558</v>
      </c>
      <c r="H40" s="29">
        <f t="shared" si="20"/>
        <v>3007004</v>
      </c>
      <c r="I40" s="29">
        <f t="shared" si="20"/>
        <v>2936609</v>
      </c>
      <c r="J40" s="29">
        <f t="shared" si="20"/>
        <v>2914102</v>
      </c>
      <c r="K40" s="29">
        <f t="shared" si="20"/>
        <v>3410436</v>
      </c>
      <c r="L40" s="29">
        <f t="shared" si="20"/>
        <v>3680498</v>
      </c>
      <c r="M40" s="29">
        <f t="shared" si="20"/>
        <v>3843883</v>
      </c>
      <c r="N40" s="29">
        <f t="shared" si="20"/>
        <v>3979638</v>
      </c>
      <c r="O40" s="29">
        <f>SUM(C40:N40)</f>
        <v>39192989.256787002</v>
      </c>
    </row>
  </sheetData>
  <sheetProtection sheet="1" objects="1" scenarios="1"/>
  <protectedRanges>
    <protectedRange sqref="P1:XFD1048576" name="Range1"/>
  </protectedRanges>
  <mergeCells count="3">
    <mergeCell ref="A1:O1"/>
    <mergeCell ref="A2:O2"/>
    <mergeCell ref="A40:B4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2026-02-18T14:09:00Z</dcterms:created>
  <dcterms:modified xsi:type="dcterms:W3CDTF">2026-04-23T21:59:35Z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d8c8b4-8bbd-4805-a837-96b702c51c71_Enabled">
    <vt:lpwstr>true</vt:lpwstr>
  </property>
  <property fmtid="{D5CDD505-2E9C-101B-9397-08002B2CF9AE}" pid="3" name="MSIP_Label_a6d8c8b4-8bbd-4805-a837-96b702c51c71_SetDate">
    <vt:lpwstr>2026-02-18T15:55:44Z</vt:lpwstr>
  </property>
  <property fmtid="{D5CDD505-2E9C-101B-9397-08002B2CF9AE}" pid="4" name="MSIP_Label_a6d8c8b4-8bbd-4805-a837-96b702c51c71_Method">
    <vt:lpwstr>Standard</vt:lpwstr>
  </property>
  <property fmtid="{D5CDD505-2E9C-101B-9397-08002B2CF9AE}" pid="5" name="MSIP_Label_a6d8c8b4-8bbd-4805-a837-96b702c51c71_Name">
    <vt:lpwstr>Confidential</vt:lpwstr>
  </property>
  <property fmtid="{D5CDD505-2E9C-101B-9397-08002B2CF9AE}" pid="6" name="MSIP_Label_a6d8c8b4-8bbd-4805-a837-96b702c51c71_SiteId">
    <vt:lpwstr>52c3448d-59b9-4e94-8fd9-d97a2128c819</vt:lpwstr>
  </property>
  <property fmtid="{D5CDD505-2E9C-101B-9397-08002B2CF9AE}" pid="7" name="MSIP_Label_a6d8c8b4-8bbd-4805-a837-96b702c51c71_ActionId">
    <vt:lpwstr>7be38357-7510-428c-a44d-3ff827622181</vt:lpwstr>
  </property>
  <property fmtid="{D5CDD505-2E9C-101B-9397-08002B2CF9AE}" pid="8" name="MSIP_Label_a6d8c8b4-8bbd-4805-a837-96b702c51c71_ContentBits">
    <vt:lpwstr>0</vt:lpwstr>
  </property>
  <property fmtid="{D5CDD505-2E9C-101B-9397-08002B2CF9AE}" pid="9" name="MSIP_Label_a6d8c8b4-8bbd-4805-a837-96b702c51c71_Tag">
    <vt:lpwstr>10, 3, 0, 2</vt:lpwstr>
  </property>
</Properties>
</file>